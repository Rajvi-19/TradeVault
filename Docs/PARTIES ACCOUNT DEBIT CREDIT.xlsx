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ALAYSIA TO PAK  ALL DETAILS DATE\SAMPLE\"/>
    </mc:Choice>
  </mc:AlternateContent>
  <bookViews>
    <workbookView xWindow="0" yWindow="0" windowWidth="28800" windowHeight="11925" tabRatio="786"/>
  </bookViews>
  <sheets>
    <sheet name="HK TEXTILE" sheetId="2" r:id="rId1"/>
  </sheets>
  <definedNames>
    <definedName name="_xlnm.Print_Area" localSheetId="0">'HK TEXTILE'!$B$1:$G$32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2" l="1"/>
  <c r="G16" i="2" s="1"/>
  <c r="E5" i="2" l="1"/>
  <c r="K13" i="2" l="1"/>
  <c r="G13" i="2" s="1"/>
  <c r="K11" i="2"/>
  <c r="G11" i="2" s="1"/>
  <c r="K8" i="2" l="1"/>
  <c r="K5" i="2"/>
  <c r="E6" i="2" l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l="1"/>
  <c r="E18" i="2" s="1"/>
  <c r="E19" i="2" s="1"/>
  <c r="E20" i="2" s="1"/>
  <c r="E21" i="2" s="1"/>
  <c r="E22" i="2" s="1"/>
  <c r="E23" i="2" s="1"/>
  <c r="E24" i="2" s="1"/>
  <c r="E25" i="2" l="1"/>
  <c r="E26" i="2" l="1"/>
  <c r="E27" i="2" s="1"/>
  <c r="E28" i="2" s="1"/>
  <c r="E29" i="2" s="1"/>
  <c r="E30" i="2" s="1"/>
  <c r="E31" i="2" s="1"/>
</calcChain>
</file>

<file path=xl/sharedStrings.xml><?xml version="1.0" encoding="utf-8"?>
<sst xmlns="http://schemas.openxmlformats.org/spreadsheetml/2006/main" count="33" uniqueCount="28">
  <si>
    <t>DEBIT</t>
  </si>
  <si>
    <t>CREDIT</t>
  </si>
  <si>
    <t>BALANCE (USD)</t>
  </si>
  <si>
    <t>PARTICULARS</t>
  </si>
  <si>
    <t xml:space="preserve">TOTAL </t>
  </si>
  <si>
    <t>HK TEXTILE</t>
  </si>
  <si>
    <t>BL DATE</t>
  </si>
  <si>
    <t>TERMS</t>
  </si>
  <si>
    <t>DUE</t>
  </si>
  <si>
    <t xml:space="preserve">EXP/013/26-27 DTD. 21-05-2026  PI /008/26-27 DTD. 15-05-2026 </t>
  </si>
  <si>
    <t>EXP/010/26-27 DTD. 13-05-2026 PI /004/26-27 DTD. 09-04-2026</t>
  </si>
  <si>
    <t>BANK PAYMENT</t>
  </si>
  <si>
    <t>EXP/018/26-27 06-06-2026 PI/011/26-27</t>
  </si>
  <si>
    <t>EXP/020/26-27 17-06-2026 PI/012/26-27</t>
  </si>
  <si>
    <t>PAID toALI Bhai malsysia inn 10</t>
  </si>
  <si>
    <t>Paid toAli bhai malaysia inv13</t>
  </si>
  <si>
    <t>EXP/023/26-27 29-07-2026 PI/009/26-27</t>
  </si>
  <si>
    <t>EXP/025/26-27 31-07-2026 PI/014/26-27</t>
  </si>
  <si>
    <t>01-08-2026 SHIPMEN CHRG (NOT CONFIRM DATE)</t>
  </si>
  <si>
    <t>EXP/029/26-27 10-09-2026 PI/021/26-27</t>
  </si>
  <si>
    <t xml:space="preserve"> OPNING BALANCE</t>
  </si>
  <si>
    <t xml:space="preserve">23-09-2026 BANK PAYMENT </t>
  </si>
  <si>
    <t xml:space="preserve">02-10-2026 Bank payment </t>
  </si>
  <si>
    <t>05-09-2026 SHIPMEN CHRG (NOT CONFIRM DATE)</t>
  </si>
  <si>
    <t>EXP/031/26-27 DT-11-09-2026 PI/019/26-27 FIRST CNTR</t>
  </si>
  <si>
    <t>EXP/034/26-27 DT-17-09-2026 PI/019/26-27 SECOND CNTR</t>
  </si>
  <si>
    <t xml:space="preserve">EXP/039/26-27 DT-03-10-2026 PI/020/26-27 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</si>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</sst>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3">
    <font>
      <sz val="11"/>
      <color theme="1"/>
      <name val="Aptos Narrow"/>
      <family val="2"/>
      <scheme val="minor"/>
    </font>
    <font>
      <sz val="14"/>
      <color theme="1"/>
      <name val="Aptos Display"/>
      <family val="1"/>
      <scheme val="major"/>
    </font>
    <font>
      <sz val="12"/>
      <color theme="1"/>
      <name val="Aptos Display"/>
      <scheme val="major"/>
    </font>
    <font>
      <sz val="16"/>
      <color theme="1"/>
      <name val="Aptos Display"/>
      <scheme val="major"/>
    </font>
    <font>
      <sz val="11"/>
      <color theme="1"/>
      <name val="Aptos Display"/>
      <scheme val="major"/>
    </font>
    <font>
      <b/>
      <u/>
      <sz val="14"/>
      <color rgb="FFFF0000"/>
      <name val="Aptos Display"/>
      <scheme val="major"/>
    </font>
    <font>
      <sz val="11"/>
      <name val="Aptos Display"/>
      <scheme val="major"/>
    </font>
    <font>
      <sz val="10"/>
      <color theme="1"/>
      <name val="Aptos Display"/>
      <scheme val="major"/>
    </font>
    <font>
      <b/>
      <sz val="11"/>
      <color theme="1"/>
      <name val="Aptos Display"/>
      <scheme val="major"/>
    </font>
    <font>
      <b/>
      <sz val="12"/>
      <color theme="1"/>
      <name val="Aptos Display"/>
      <scheme val="major"/>
    </font>
    <font>
      <sz val="12"/>
      <name val="Aptos Display"/>
      <scheme val="major"/>
    </font>
    <font>
      <b/>
      <sz val="10"/>
      <color theme="1"/>
      <name val="Aptos Display"/>
      <scheme val="major"/>
    </font>
    <font>
      <sz val="12"/>
      <color rgb="FFFF0000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Border="1"/>
    <xf numFmtId="0" fontId="2" fillId="0" borderId="0" xfId="0" applyFont="1" applyBorder="1"/>
    <xf numFmtId="2" fontId="2" fillId="0" borderId="0" xfId="0" applyNumberFormat="1" applyFont="1" applyBorder="1" applyAlignment="1">
      <alignment horizontal="right"/>
    </xf>
    <xf numFmtId="164" fontId="2" fillId="0" borderId="0" xfId="0" applyNumberFormat="1" applyFont="1" applyBorder="1"/>
    <xf numFmtId="0" fontId="2" fillId="0" borderId="0" xfId="0" applyFont="1"/>
    <xf numFmtId="164" fontId="4" fillId="0" borderId="0" xfId="0" applyNumberFormat="1" applyFont="1" applyBorder="1"/>
    <xf numFmtId="2" fontId="4" fillId="0" borderId="0" xfId="0" applyNumberFormat="1" applyFont="1" applyBorder="1" applyAlignment="1">
      <alignment horizontal="right"/>
    </xf>
    <xf numFmtId="164" fontId="2" fillId="2" borderId="0" xfId="0" applyNumberFormat="1" applyFont="1" applyFill="1" applyBorder="1" applyAlignment="1">
      <alignment vertical="top"/>
    </xf>
    <xf numFmtId="0" fontId="7" fillId="0" borderId="0" xfId="0" applyFont="1" applyBorder="1"/>
    <xf numFmtId="165" fontId="4" fillId="0" borderId="0" xfId="0" applyNumberFormat="1" applyFont="1" applyBorder="1"/>
    <xf numFmtId="0" fontId="4" fillId="0" borderId="0" xfId="0" applyFont="1" applyBorder="1" applyAlignment="1">
      <alignment vertical="center"/>
    </xf>
    <xf numFmtId="164" fontId="4" fillId="2" borderId="0" xfId="0" applyNumberFormat="1" applyFont="1" applyFill="1" applyBorder="1" applyAlignment="1">
      <alignment vertical="top"/>
    </xf>
    <xf numFmtId="164" fontId="4" fillId="0" borderId="0" xfId="0" applyNumberFormat="1" applyFont="1"/>
    <xf numFmtId="2" fontId="6" fillId="0" borderId="0" xfId="0" applyNumberFormat="1" applyFont="1" applyBorder="1"/>
    <xf numFmtId="0" fontId="5" fillId="0" borderId="0" xfId="0" applyFont="1" applyAlignment="1">
      <alignment horizontal="center" wrapText="1"/>
    </xf>
    <xf numFmtId="164" fontId="9" fillId="0" borderId="0" xfId="0" applyNumberFormat="1" applyFont="1" applyBorder="1"/>
    <xf numFmtId="2" fontId="1" fillId="0" borderId="0" xfId="0" applyNumberFormat="1" applyFont="1" applyFill="1" applyBorder="1" applyAlignment="1">
      <alignment horizontal="right"/>
    </xf>
    <xf numFmtId="0" fontId="8" fillId="0" borderId="0" xfId="0" applyFont="1" applyBorder="1"/>
    <xf numFmtId="0" fontId="11" fillId="0" borderId="0" xfId="0" applyFont="1" applyBorder="1"/>
    <xf numFmtId="2" fontId="2" fillId="0" borderId="0" xfId="0" applyNumberFormat="1" applyFont="1" applyBorder="1"/>
    <xf numFmtId="0" fontId="5" fillId="0" borderId="0" xfId="0" applyFont="1" applyAlignment="1">
      <alignment horizontal="left"/>
    </xf>
    <xf numFmtId="164" fontId="9" fillId="2" borderId="0" xfId="0" applyNumberFormat="1" applyFont="1" applyFill="1" applyBorder="1"/>
    <xf numFmtId="2" fontId="10" fillId="0" borderId="0" xfId="0" applyNumberFormat="1" applyFont="1" applyBorder="1"/>
    <xf numFmtId="2" fontId="12" fillId="0" borderId="0" xfId="0" applyNumberFormat="1" applyFont="1" applyBorder="1"/>
    <xf numFmtId="0" fontId="10" fillId="0" borderId="0" xfId="0" applyFont="1" applyBorder="1"/>
    <xf numFmtId="2" fontId="2" fillId="0" borderId="0" xfId="0" applyNumberFormat="1" applyFont="1"/>
    <xf numFmtId="2" fontId="1" fillId="2" borderId="0" xfId="0" applyNumberFormat="1" applyFont="1" applyFill="1" applyBorder="1" applyAlignment="1">
      <alignment horizontal="right" vertical="top"/>
    </xf>
    <xf numFmtId="14" fontId="1" fillId="0" borderId="0" xfId="0" applyNumberFormat="1" applyFont="1" applyAlignment="1">
      <alignment horizontal="right"/>
    </xf>
    <xf numFmtId="1" fontId="1" fillId="2" borderId="0" xfId="0" applyNumberFormat="1" applyFont="1" applyFill="1" applyBorder="1" applyAlignment="1">
      <alignment horizontal="right"/>
    </xf>
    <xf numFmtId="14" fontId="1" fillId="0" borderId="0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2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2" fontId="1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abSelected="1" view="pageBreakPreview" topLeftCell="A7" zoomScale="60" zoomScaleNormal="100" workbookViewId="0">
      <selection activeCell="S29" sqref="S29:S30"/>
    </sheetView>
  </sheetViews>
  <sheetFormatPr defaultRowHeight="14.25"/>
  <cols>
    <col min="1" max="1" width="2.375" style="1" customWidth="1"/>
    <col min="2" max="2" width="42" style="1" customWidth="1"/>
    <col min="3" max="3" width="13.25" style="1" customWidth="1"/>
    <col min="4" max="4" width="11.125" style="1" customWidth="1"/>
    <col min="5" max="6" width="14.25" style="1" customWidth="1"/>
    <col min="7" max="7" width="12.875" style="38" customWidth="1"/>
    <col min="8" max="8" width="10.75" style="1" customWidth="1"/>
    <col min="9" max="9" width="13.625" style="1" customWidth="1"/>
    <col min="10" max="10" width="9" style="1"/>
    <col min="11" max="11" width="17.125" style="1" customWidth="1"/>
    <col min="12" max="12" width="14.25" style="1" customWidth="1"/>
    <col min="13" max="13" width="10.125" style="1" bestFit="1" customWidth="1"/>
    <col min="14" max="16" width="9" style="1"/>
    <col min="17" max="17" width="10.375" style="1" bestFit="1" customWidth="1"/>
    <col min="18" max="16384" width="9" style="1"/>
  </cols>
  <sheetData>
    <row r="1" spans="2:12" ht="20.25">
      <c r="B1" s="40" t="s">
        <v>5</v>
      </c>
      <c r="C1" s="40"/>
      <c r="D1" s="40"/>
      <c r="E1" s="40"/>
      <c r="F1" s="37"/>
    </row>
    <row r="2" spans="2:12" ht="36" customHeight="1">
      <c r="B2" s="23" t="s">
        <v>3</v>
      </c>
      <c r="C2" s="17" t="s">
        <v>0</v>
      </c>
      <c r="D2" s="17" t="s">
        <v>1</v>
      </c>
      <c r="E2" s="17" t="s">
        <v>2</v>
      </c>
      <c r="F2" s="17"/>
      <c r="G2" s="2" t="s">
        <v>8</v>
      </c>
      <c r="H2" s="17" t="s">
        <v>11</v>
      </c>
      <c r="I2" s="2" t="s">
        <v>6</v>
      </c>
      <c r="J2" s="2" t="s">
        <v>7</v>
      </c>
      <c r="K2" s="2" t="s">
        <v>8</v>
      </c>
    </row>
    <row r="3" spans="2:12">
      <c r="B3" s="13"/>
      <c r="C3" s="14"/>
      <c r="D3" s="9"/>
      <c r="E3" s="8"/>
      <c r="F3" s="8"/>
      <c r="I3" s="3"/>
      <c r="J3" s="12"/>
      <c r="K3" s="3"/>
    </row>
    <row r="4" spans="2:12" ht="15.75">
      <c r="B4" s="13" t="s">
        <v>20</v>
      </c>
      <c r="C4" s="10"/>
      <c r="D4" s="5"/>
      <c r="E4" s="24">
        <v>0</v>
      </c>
      <c r="F4" s="24"/>
      <c r="I4" s="3"/>
      <c r="J4" s="12"/>
      <c r="K4" s="3"/>
    </row>
    <row r="5" spans="2:12" ht="18.75">
      <c r="B5" s="20" t="s">
        <v>10</v>
      </c>
      <c r="C5" s="25">
        <v>51680</v>
      </c>
      <c r="D5" s="4"/>
      <c r="E5" s="6">
        <f>E4+C5-D5</f>
        <v>51680</v>
      </c>
      <c r="F5" s="6"/>
      <c r="G5" s="39">
        <v>46280</v>
      </c>
      <c r="H5" s="19">
        <v>40800</v>
      </c>
      <c r="I5" s="30">
        <v>46190</v>
      </c>
      <c r="J5" s="31">
        <v>90</v>
      </c>
      <c r="K5" s="32">
        <f t="shared" ref="K5" si="0">I5+J5</f>
        <v>46280</v>
      </c>
      <c r="L5" s="16"/>
    </row>
    <row r="6" spans="2:12" ht="18.75">
      <c r="B6" s="3" t="s">
        <v>14</v>
      </c>
      <c r="C6" s="26"/>
      <c r="D6" s="22">
        <v>3800</v>
      </c>
      <c r="E6" s="6">
        <f t="shared" ref="E6:E31" si="1">E5+C6-D6</f>
        <v>47880</v>
      </c>
      <c r="F6" s="6"/>
      <c r="G6" s="39"/>
      <c r="H6" s="33"/>
      <c r="I6" s="33"/>
      <c r="J6" s="31"/>
      <c r="K6" s="32"/>
    </row>
    <row r="7" spans="2:12" ht="18.75">
      <c r="B7" s="3" t="s">
        <v>21</v>
      </c>
      <c r="C7" s="26"/>
      <c r="D7" s="22">
        <v>40800</v>
      </c>
      <c r="E7" s="6">
        <f t="shared" si="1"/>
        <v>7080</v>
      </c>
      <c r="F7" s="6"/>
      <c r="G7" s="39"/>
      <c r="H7" s="33"/>
      <c r="I7" s="33"/>
      <c r="J7" s="31"/>
      <c r="K7" s="32"/>
    </row>
    <row r="8" spans="2:12" ht="18.75">
      <c r="B8" s="21" t="s">
        <v>9</v>
      </c>
      <c r="C8" s="25">
        <v>66960</v>
      </c>
      <c r="D8" s="4"/>
      <c r="E8" s="6">
        <f t="shared" si="1"/>
        <v>74040</v>
      </c>
      <c r="F8" s="6"/>
      <c r="G8" s="39">
        <v>46280</v>
      </c>
      <c r="H8" s="34">
        <v>49500</v>
      </c>
      <c r="I8" s="32">
        <v>46190</v>
      </c>
      <c r="J8" s="31">
        <v>90</v>
      </c>
      <c r="K8" s="32">
        <f t="shared" ref="K8" si="2">I8+J8</f>
        <v>46280</v>
      </c>
      <c r="L8" s="16"/>
    </row>
    <row r="9" spans="2:12" ht="18.75">
      <c r="B9" s="3" t="s">
        <v>15</v>
      </c>
      <c r="C9" s="27"/>
      <c r="D9" s="22">
        <v>3800</v>
      </c>
      <c r="E9" s="6">
        <f t="shared" si="1"/>
        <v>70240</v>
      </c>
      <c r="F9" s="6"/>
      <c r="H9" s="35"/>
      <c r="I9" s="35"/>
      <c r="J9" s="35"/>
      <c r="K9" s="33"/>
    </row>
    <row r="10" spans="2:12" ht="18.75">
      <c r="B10" s="1" t="s">
        <v>22</v>
      </c>
      <c r="C10" s="28"/>
      <c r="D10" s="28">
        <v>49500</v>
      </c>
      <c r="E10" s="6">
        <f t="shared" si="1"/>
        <v>20740</v>
      </c>
      <c r="F10" s="6"/>
      <c r="H10" s="35"/>
      <c r="I10" s="35"/>
      <c r="J10" s="35"/>
      <c r="K10" s="33"/>
    </row>
    <row r="11" spans="2:12" ht="18.75">
      <c r="B11" s="21" t="s">
        <v>12</v>
      </c>
      <c r="C11" s="22">
        <v>74845</v>
      </c>
      <c r="D11" s="4"/>
      <c r="E11" s="6">
        <f t="shared" si="1"/>
        <v>95585</v>
      </c>
      <c r="F11" s="6"/>
      <c r="G11" s="39">
        <f>K11</f>
        <v>46325</v>
      </c>
      <c r="H11" s="35">
        <v>50250.5</v>
      </c>
      <c r="I11" s="32">
        <v>46235</v>
      </c>
      <c r="J11" s="31">
        <v>90</v>
      </c>
      <c r="K11" s="32">
        <f t="shared" ref="K11:K13" si="3">I11+J11</f>
        <v>46325</v>
      </c>
    </row>
    <row r="12" spans="2:12" ht="18.75">
      <c r="B12" s="11" t="s">
        <v>18</v>
      </c>
      <c r="C12" s="22"/>
      <c r="D12" s="22">
        <v>3800</v>
      </c>
      <c r="E12" s="6">
        <f t="shared" si="1"/>
        <v>91785</v>
      </c>
      <c r="F12" s="6"/>
      <c r="H12" s="35"/>
      <c r="I12" s="35"/>
      <c r="J12" s="31"/>
      <c r="K12" s="32"/>
    </row>
    <row r="13" spans="2:12" ht="18.75">
      <c r="B13" s="21" t="s">
        <v>13</v>
      </c>
      <c r="C13" s="22">
        <v>108844.5</v>
      </c>
      <c r="D13" s="4"/>
      <c r="E13" s="6">
        <f t="shared" si="1"/>
        <v>200629.5</v>
      </c>
      <c r="F13" s="6"/>
      <c r="G13" s="39">
        <f>K13</f>
        <v>46325</v>
      </c>
      <c r="H13" s="29">
        <v>58671.75</v>
      </c>
      <c r="I13" s="32">
        <v>46235</v>
      </c>
      <c r="J13" s="31">
        <v>90</v>
      </c>
      <c r="K13" s="32">
        <f t="shared" si="3"/>
        <v>46325</v>
      </c>
    </row>
    <row r="14" spans="2:12" ht="18.75">
      <c r="B14" s="11" t="s">
        <v>18</v>
      </c>
      <c r="C14" s="4"/>
      <c r="D14" s="22">
        <v>3800</v>
      </c>
      <c r="E14" s="6">
        <f t="shared" si="1"/>
        <v>196829.5</v>
      </c>
      <c r="F14" s="6"/>
      <c r="H14" s="35"/>
      <c r="I14" s="35"/>
      <c r="J14" s="35"/>
      <c r="K14" s="33"/>
    </row>
    <row r="15" spans="2:12" ht="18.75">
      <c r="B15" s="3"/>
      <c r="C15" s="4"/>
      <c r="D15" s="4"/>
      <c r="E15" s="6">
        <f t="shared" si="1"/>
        <v>196829.5</v>
      </c>
      <c r="F15" s="6"/>
      <c r="H15" s="34"/>
      <c r="I15" s="35"/>
      <c r="J15" s="35"/>
      <c r="K15" s="33"/>
    </row>
    <row r="16" spans="2:12" ht="18.75">
      <c r="B16" s="21" t="s">
        <v>16</v>
      </c>
      <c r="C16" s="22">
        <v>61200</v>
      </c>
      <c r="D16" s="4"/>
      <c r="E16" s="6">
        <f t="shared" si="1"/>
        <v>258029.5</v>
      </c>
      <c r="F16" s="6"/>
      <c r="G16" s="39">
        <f>K16</f>
        <v>46392</v>
      </c>
      <c r="H16" s="34">
        <v>40800</v>
      </c>
      <c r="I16" s="32">
        <v>46302</v>
      </c>
      <c r="J16" s="31">
        <v>90</v>
      </c>
      <c r="K16" s="32">
        <f t="shared" ref="K16" si="4">I16+J16</f>
        <v>46392</v>
      </c>
    </row>
    <row r="17" spans="2:17" ht="18.75">
      <c r="B17" s="11" t="s">
        <v>23</v>
      </c>
      <c r="C17" s="22"/>
      <c r="D17" s="22">
        <v>3800</v>
      </c>
      <c r="E17" s="6">
        <f t="shared" si="1"/>
        <v>254229.5</v>
      </c>
      <c r="F17" s="6"/>
      <c r="G17" s="39"/>
      <c r="H17" s="34"/>
      <c r="I17" s="32"/>
      <c r="J17" s="31"/>
      <c r="K17" s="32"/>
    </row>
    <row r="18" spans="2:17" ht="18.75">
      <c r="B18" s="3"/>
      <c r="C18" s="4"/>
      <c r="D18" s="4"/>
      <c r="E18" s="6">
        <f t="shared" si="1"/>
        <v>254229.5</v>
      </c>
      <c r="F18" s="6"/>
      <c r="H18" s="35"/>
      <c r="I18" s="35"/>
      <c r="J18" s="35"/>
      <c r="K18" s="33"/>
    </row>
    <row r="19" spans="2:17" ht="18.75">
      <c r="B19" s="21" t="s">
        <v>17</v>
      </c>
      <c r="C19" s="22">
        <v>88957.5</v>
      </c>
      <c r="D19" s="4"/>
      <c r="E19" s="6">
        <f t="shared" si="1"/>
        <v>343187</v>
      </c>
      <c r="F19" s="6"/>
      <c r="G19" s="38" t="s">
        <v>27</v>
      </c>
      <c r="H19" s="33">
        <v>52391.25</v>
      </c>
      <c r="I19" s="33"/>
      <c r="J19" s="33"/>
      <c r="K19" s="33"/>
    </row>
    <row r="20" spans="2:17" ht="18.75">
      <c r="B20" s="21"/>
      <c r="C20" s="22"/>
      <c r="D20" s="4"/>
      <c r="E20" s="6">
        <f t="shared" si="1"/>
        <v>343187</v>
      </c>
      <c r="F20" s="6"/>
      <c r="H20" s="33"/>
      <c r="I20" s="33"/>
      <c r="J20" s="33"/>
      <c r="K20" s="33"/>
    </row>
    <row r="21" spans="2:17" ht="18.75">
      <c r="B21" s="21" t="s">
        <v>19</v>
      </c>
      <c r="C21" s="22">
        <v>66640</v>
      </c>
      <c r="D21" s="4"/>
      <c r="E21" s="6">
        <f t="shared" si="1"/>
        <v>409827</v>
      </c>
      <c r="F21" s="6"/>
      <c r="H21" s="36">
        <v>40800</v>
      </c>
      <c r="I21" s="33"/>
      <c r="J21" s="33"/>
      <c r="K21" s="33"/>
    </row>
    <row r="22" spans="2:17" ht="18.75">
      <c r="B22" s="21"/>
      <c r="C22" s="22"/>
      <c r="D22" s="4"/>
      <c r="E22" s="6">
        <f t="shared" si="1"/>
        <v>409827</v>
      </c>
      <c r="F22" s="6"/>
      <c r="H22" s="33"/>
      <c r="I22" s="33"/>
      <c r="J22" s="33"/>
      <c r="K22" s="33"/>
    </row>
    <row r="23" spans="2:17" ht="18.75">
      <c r="B23" s="21" t="s">
        <v>24</v>
      </c>
      <c r="C23" s="22">
        <v>97500</v>
      </c>
      <c r="D23" s="4"/>
      <c r="E23" s="6">
        <f t="shared" si="1"/>
        <v>507327</v>
      </c>
      <c r="F23" s="6"/>
      <c r="G23" s="38" t="s">
        <v>27</v>
      </c>
      <c r="H23" s="36">
        <v>49625</v>
      </c>
      <c r="I23" s="33"/>
      <c r="J23" s="33"/>
      <c r="K23" s="33"/>
    </row>
    <row r="24" spans="2:17" ht="18.75">
      <c r="B24" s="21"/>
      <c r="C24" s="22"/>
      <c r="D24" s="4"/>
      <c r="E24" s="6">
        <f t="shared" si="1"/>
        <v>507327</v>
      </c>
      <c r="F24" s="6"/>
      <c r="H24" s="33"/>
      <c r="I24" s="33"/>
      <c r="J24" s="33"/>
      <c r="K24" s="33"/>
    </row>
    <row r="25" spans="2:17" ht="18.75">
      <c r="B25" s="21" t="s">
        <v>25</v>
      </c>
      <c r="C25" s="22">
        <v>97630</v>
      </c>
      <c r="D25" s="4"/>
      <c r="E25" s="6">
        <f t="shared" si="1"/>
        <v>604957</v>
      </c>
      <c r="F25" s="6"/>
      <c r="G25" s="38" t="s">
        <v>27</v>
      </c>
      <c r="H25" s="34">
        <v>49855</v>
      </c>
      <c r="I25" s="33"/>
      <c r="J25" s="33"/>
      <c r="K25" s="33"/>
    </row>
    <row r="26" spans="2:17" ht="18.75">
      <c r="B26" s="21"/>
      <c r="C26" s="22"/>
      <c r="D26" s="4"/>
      <c r="E26" s="6">
        <f t="shared" si="1"/>
        <v>604957</v>
      </c>
      <c r="F26" s="6"/>
      <c r="H26" s="33"/>
      <c r="I26" s="33"/>
      <c r="J26" s="33"/>
      <c r="K26" s="33"/>
    </row>
    <row r="27" spans="2:17" ht="18.75">
      <c r="B27" s="21"/>
      <c r="C27" s="22"/>
      <c r="D27" s="4"/>
      <c r="E27" s="6">
        <f t="shared" si="1"/>
        <v>604957</v>
      </c>
      <c r="F27" s="6"/>
      <c r="H27" s="33"/>
      <c r="I27" s="33"/>
      <c r="J27" s="33"/>
      <c r="K27" s="33"/>
    </row>
    <row r="28" spans="2:17" ht="18.75">
      <c r="B28" s="21" t="s">
        <v>26</v>
      </c>
      <c r="C28" s="22">
        <v>108286</v>
      </c>
      <c r="D28" s="4"/>
      <c r="E28" s="6">
        <f t="shared" si="1"/>
        <v>713243</v>
      </c>
      <c r="F28" s="6"/>
      <c r="G28" s="38" t="s">
        <v>27</v>
      </c>
      <c r="H28" s="36">
        <v>57969.5</v>
      </c>
      <c r="I28" s="33"/>
      <c r="J28" s="33"/>
      <c r="K28" s="33"/>
    </row>
    <row r="29" spans="2:17" ht="15">
      <c r="B29" s="21"/>
      <c r="C29" s="22"/>
      <c r="D29" s="4"/>
      <c r="E29" s="6">
        <f t="shared" si="1"/>
        <v>713243</v>
      </c>
      <c r="F29" s="6"/>
    </row>
    <row r="30" spans="2:17" ht="15">
      <c r="B30" s="21"/>
      <c r="C30" s="22"/>
      <c r="D30" s="4"/>
      <c r="E30" s="6">
        <f t="shared" si="1"/>
        <v>713243</v>
      </c>
      <c r="F30" s="6"/>
    </row>
    <row r="31" spans="2:17" ht="19.5" customHeight="1">
      <c r="B31" s="3" t="s">
        <v>4</v>
      </c>
      <c r="C31" s="4"/>
      <c r="D31" s="4"/>
      <c r="E31" s="18">
        <f t="shared" si="1"/>
        <v>713243</v>
      </c>
      <c r="F31" s="18"/>
    </row>
    <row r="32" spans="2:17" ht="15">
      <c r="C32" s="7"/>
      <c r="D32" s="7"/>
      <c r="E32" s="6"/>
      <c r="F32" s="6"/>
      <c r="Q32" s="15"/>
    </row>
  </sheetData>
  <pageMargins left="3.937007874015748E-2" right="0" top="0.19685039370078741" bottom="0" header="0.31496062992125984" footer="0.31496062992125984"/>
  <pageSetup paperSize="9" scale="90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HK TEXTILE</vt:lpstr>
      <vt:lpstr>'HK TEXTILE'!Print_Area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MANSOOR SODHA</dc:creator>
  <cp:lastModifiedBy>com</cp:lastModifiedBy>
  <cp:lastPrinted>2026-10-10T11:29:04Z</cp:lastPrinted>
  <dcterms:created xsi:type="dcterms:W3CDTF">2024-06-27T13:42:01Z</dcterms:created>
  <dcterms:modified xsi:type="dcterms:W3CDTF">2026-10-17T06:40:24Z</dcterms:modified>
</cp:coreProperties>
</file>