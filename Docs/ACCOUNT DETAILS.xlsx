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defaultThemeVersion="124226"/>
  <xr:revisionPtr revIDLastSave="6" documentId="11_F2BCDBFDE0629891C05B49C01E21A04C2D5D1A55" xr6:coauthVersionLast="47" xr6:coauthVersionMax="47" xr10:uidLastSave="{25870312-0AC1-481E-8E2D-CE6CF05D9465}"/>
  <bookViews>
    <workbookView xWindow="-120" yWindow="-120" windowWidth="20730" windowHeight="11160" tabRatio="825" xr2:uid="{00000000-000D-0000-FFFF-FFFF00000000}"/>
  </bookViews>
  <sheets>
    <sheet name="HK" sheetId="1" r:id="rId1"/>
  </sheets>
  <definedNames>
    <definedName name="_xlnm.Print_Area" localSheetId="0">HK!$A$1:$N$25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K4" i="1"/>
  <c r="C21" i="1" l="1"/>
  <c r="F18" i="1" l="1"/>
  <c r="F17" i="1"/>
  <c r="F16" i="1"/>
  <c r="F15" i="1"/>
  <c r="E21" i="1" l="1"/>
  <c r="D21" i="1"/>
  <c r="J21" i="1"/>
  <c r="I18" i="1"/>
  <c r="G18" i="1"/>
  <c r="F13" i="1" l="1"/>
  <c r="F12" i="1"/>
  <c r="F11" i="1"/>
  <c r="F10" i="1"/>
  <c r="F9" i="1"/>
  <c r="N13" i="1" l="1"/>
  <c r="G17" i="1"/>
  <c r="I17" i="1"/>
  <c r="I16" i="1" l="1"/>
  <c r="G16" i="1"/>
  <c r="I15" i="1" l="1"/>
  <c r="H21" i="1"/>
  <c r="G15" i="1"/>
  <c r="G10" i="1" l="1"/>
  <c r="G11" i="1"/>
  <c r="G12" i="1"/>
  <c r="G13" i="1"/>
  <c r="G14" i="1"/>
  <c r="F14" i="1"/>
  <c r="N12" i="1" l="1"/>
  <c r="N11" i="1"/>
  <c r="I13" i="1" l="1"/>
  <c r="I14" i="1"/>
  <c r="N10" i="1" l="1"/>
  <c r="N9" i="1"/>
  <c r="I12" i="1"/>
  <c r="I11" i="1" l="1"/>
  <c r="I10" i="1" l="1"/>
  <c r="G9" i="1"/>
  <c r="G7" i="1"/>
  <c r="I9" i="1"/>
  <c r="N7" i="1" l="1"/>
  <c r="I7" i="1" l="1"/>
  <c r="F7" i="1"/>
  <c r="N6" i="1" l="1"/>
  <c r="N5" i="1" l="1"/>
  <c r="N4" i="1"/>
  <c r="F6" i="1" l="1"/>
  <c r="F5" i="1"/>
  <c r="F4" i="1"/>
  <c r="G6" i="1" l="1"/>
  <c r="I6" i="1"/>
  <c r="G5" i="1" l="1"/>
  <c r="I5" i="1"/>
  <c r="I4" i="1" l="1"/>
  <c r="I21" i="1" l="1"/>
  <c r="K21" i="1" s="1"/>
  <c r="K5" i="1" l="1"/>
  <c r="K6" i="1" s="1"/>
  <c r="K7" i="1" s="1"/>
  <c r="K8" i="1" s="1"/>
  <c r="K9" i="1" s="1"/>
  <c r="F21" i="1" l="1"/>
  <c r="K10" i="1"/>
  <c r="K11" i="1" s="1"/>
  <c r="K12" i="1" l="1"/>
  <c r="K13" i="1" s="1"/>
  <c r="K14" i="1" s="1"/>
  <c r="K15" i="1" s="1"/>
  <c r="E23" i="1"/>
  <c r="E24" i="1"/>
  <c r="K16" i="1"/>
  <c r="K17" i="1" s="1"/>
  <c r="K18" i="1" s="1"/>
  <c r="E25" i="1" l="1"/>
</calcChain>
</file>

<file path=xl/sharedStrings.xml><?xml version="1.0" encoding="utf-8"?>
<sst xmlns="http://schemas.openxmlformats.org/spreadsheetml/2006/main" count="53" uniqueCount="49">
  <si>
    <t>{1}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</si>
  <si>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</si>
  <si>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</si>
  <si>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</si>
  <si>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</si>
  <si>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</si>
  <si>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</si>
  <si>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</si>
  <si>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</si>
  <si>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</si>
  <si>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</si>
  <si>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REC. DIFF. AMOUNT</t>
  </si>
  <si>
    <t>ALISHA &amp; HK TEXTILE  23-24</t>
  </si>
  <si>
    <t xml:space="preserve">TERMS </t>
  </si>
  <si>
    <t>DUE DATE</t>
  </si>
  <si>
    <t xml:space="preserve">BANK PAYMENT USD </t>
  </si>
  <si>
    <t xml:space="preserve">TOTAL USD </t>
  </si>
  <si>
    <t>DIFF. AMOUNT USD</t>
  </si>
  <si>
    <t xml:space="preserve">SR. NO. </t>
  </si>
  <si>
    <t>PER BILL DIFF. AFTER SHIPMENT PAYMENT  USD</t>
  </si>
  <si>
    <t>EXP/066/25-26 DT 30-03-2026 PI66</t>
  </si>
  <si>
    <t>EXP/018/26-27 06-06-2026 PI/011/26-27</t>
  </si>
  <si>
    <t>EXP/020/26-27 17-06-2026 PI/012/26-27</t>
  </si>
  <si>
    <t>EXP/025/26-27 31-07-2026 PI/014/26-27</t>
  </si>
  <si>
    <t>EXP/023/26-27 29-07-2026 PI/009/26-27</t>
  </si>
  <si>
    <t>EXP/029/26-27 10-09-2026 PI/021/26-27</t>
  </si>
  <si>
    <t>RAOUND OFF</t>
  </si>
  <si>
    <t>PENDING</t>
  </si>
  <si>
    <t>EXP/034/26-27 DT-17-09-2026 PI/019 26-27 2ND CNRT</t>
  </si>
  <si>
    <t>EXP/039/26-27 DT 03-10-2026 PI/020/26-27</t>
  </si>
  <si>
    <t>{13}</t>
  </si>
  <si>
    <t>{14}</t>
  </si>
  <si>
    <t>{02}</t>
  </si>
  <si>
    <t>EXP048/25-26 DATE 12-01-2026 PI /051/25-26</t>
  </si>
  <si>
    <t>EXP049/25-26 DATE 23-01-2026 PI /049/25-26</t>
  </si>
  <si>
    <t>EXP/054/25-26 PI /053/25-26</t>
  </si>
  <si>
    <t>TOTAL  AMOUNT IN USD</t>
  </si>
  <si>
    <t>OUR CUSTOMS INVOICE NO &amp; DATE</t>
  </si>
  <si>
    <t>ORIGINAL AMOUNT $</t>
  </si>
  <si>
    <t>BANK CONTRACT AMOUNT $</t>
  </si>
  <si>
    <t>REC. INVOICE  PAYMENT IN MALAYSIA A/C</t>
  </si>
  <si>
    <t>PENDING INVOICE PAYMENT IN MALAYSIA A/C</t>
  </si>
  <si>
    <t>DIFFRENCE AMAOUNT $</t>
  </si>
  <si>
    <t xml:space="preserve">SHIPMENT PAYMENT $ </t>
  </si>
  <si>
    <t>TOTAL DIFF. AMOUNT PENDING $</t>
  </si>
  <si>
    <t>BL DATE. MLY TO PAK</t>
  </si>
  <si>
    <t xml:space="preserve">EXP/010/26-27 DTD. 13-05-2026 PI /004/26-27 </t>
  </si>
  <si>
    <t xml:space="preserve">EXP/013/26-27 DTD. 21-05-2026  PI /008/26-27 </t>
  </si>
  <si>
    <t>EXP/031/26-27 DT-11-09-2026 PI/019/26-27 1ST CNTR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</si>
</sst>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2" fontId="0" fillId="0" borderId="0" xfId="0" applyNumberFormat="1"/>
    <xf numFmtId="14" fontId="1" fillId="0" borderId="0" xfId="0" applyNumberFormat="1" applyFont="1" applyAlignment="1">
      <alignment horizontal="right" vertical="top"/>
    </xf>
    <xf numFmtId="2" fontId="4" fillId="0" borderId="0" xfId="0" applyNumberFormat="1" applyFont="1" applyAlignment="1">
      <alignment horizontal="right" vertical="top"/>
    </xf>
    <xf numFmtId="0" fontId="1" fillId="0" borderId="0" xfId="0" applyFont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5" fillId="0" borderId="0" xfId="0" applyFont="1"/>
    <xf numFmtId="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164" fontId="9" fillId="3" borderId="1" xfId="0" applyNumberFormat="1" applyFont="1" applyFill="1" applyBorder="1" applyAlignment="1">
      <alignment vertical="top"/>
    </xf>
    <xf numFmtId="2" fontId="7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top"/>
    </xf>
    <xf numFmtId="2" fontId="7" fillId="3" borderId="1" xfId="0" applyNumberFormat="1" applyFont="1" applyFill="1" applyBorder="1" applyAlignment="1">
      <alignment horizontal="right" vertical="top"/>
    </xf>
    <xf numFmtId="2" fontId="9" fillId="3" borderId="1" xfId="0" applyNumberFormat="1" applyFont="1" applyFill="1" applyBorder="1"/>
    <xf numFmtId="2" fontId="9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14" fontId="0" fillId="3" borderId="1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2" fontId="1" fillId="3" borderId="1" xfId="0" applyNumberFormat="1" applyFon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2" fontId="9" fillId="3" borderId="1" xfId="0" applyNumberFormat="1" applyFont="1" applyFill="1" applyBorder="1" applyAlignment="1">
      <alignment horizontal="right" vertical="top"/>
    </xf>
    <xf numFmtId="2" fontId="9" fillId="3" borderId="1" xfId="0" applyNumberFormat="1" applyFont="1" applyFill="1" applyBorder="1" applyAlignment="1">
      <alignment vertical="top"/>
    </xf>
    <xf numFmtId="2" fontId="0" fillId="0" borderId="0" xfId="0" applyNumberFormat="1" applyAlignment="1">
      <alignment horizontal="center" vertical="center"/>
    </xf>
    <xf numFmtId="2" fontId="15" fillId="0" borderId="0" xfId="0" applyNumberFormat="1" applyFont="1"/>
    <xf numFmtId="0" fontId="6" fillId="2" borderId="10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2" fontId="6" fillId="2" borderId="2" xfId="0" applyNumberFormat="1" applyFont="1" applyFill="1" applyBorder="1" applyAlignment="1">
      <alignment horizontal="center" vertical="top" wrapText="1"/>
    </xf>
    <xf numFmtId="2" fontId="6" fillId="2" borderId="2" xfId="0" applyNumberFormat="1" applyFont="1" applyFill="1" applyBorder="1" applyAlignment="1">
      <alignment horizontal="left" vertical="top" wrapText="1"/>
    </xf>
    <xf numFmtId="2" fontId="6" fillId="2" borderId="2" xfId="0" applyNumberFormat="1" applyFont="1" applyFill="1" applyBorder="1" applyAlignment="1">
      <alignment horizontal="righ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2" fontId="3" fillId="3" borderId="1" xfId="0" applyNumberFormat="1" applyFont="1" applyFill="1" applyBorder="1" applyAlignment="1">
      <alignment horizontal="right" vertical="top"/>
    </xf>
    <xf numFmtId="2" fontId="3" fillId="0" borderId="0" xfId="0" applyNumberFormat="1" applyFont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10" fillId="0" borderId="0" xfId="0" applyFont="1"/>
    <xf numFmtId="0" fontId="10" fillId="3" borderId="1" xfId="0" applyFont="1" applyFill="1" applyBorder="1" applyAlignment="1">
      <alignment vertical="top"/>
    </xf>
    <xf numFmtId="2" fontId="7" fillId="3" borderId="1" xfId="0" applyNumberFormat="1" applyFont="1" applyFill="1" applyBorder="1" applyAlignment="1">
      <alignment horizontal="right"/>
    </xf>
    <xf numFmtId="0" fontId="0" fillId="3" borderId="0" xfId="0" applyFill="1" applyAlignment="1">
      <alignment vertical="top"/>
    </xf>
    <xf numFmtId="2" fontId="7" fillId="3" borderId="1" xfId="0" applyNumberFormat="1" applyFont="1" applyFill="1" applyBorder="1" applyAlignment="1">
      <alignment horizontal="right" vertical="center"/>
    </xf>
    <xf numFmtId="1" fontId="9" fillId="3" borderId="1" xfId="0" applyNumberFormat="1" applyFont="1" applyFill="1" applyBorder="1" applyAlignment="1">
      <alignment horizontal="left" vertical="center"/>
    </xf>
    <xf numFmtId="2" fontId="8" fillId="3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 wrapText="1"/>
    </xf>
    <xf numFmtId="14" fontId="11" fillId="3" borderId="1" xfId="0" applyNumberFormat="1" applyFont="1" applyFill="1" applyBorder="1" applyAlignment="1">
      <alignment horizontal="left" vertical="center"/>
    </xf>
    <xf numFmtId="0" fontId="16" fillId="3" borderId="1" xfId="0" applyFont="1" applyFill="1" applyBorder="1"/>
    <xf numFmtId="2" fontId="0" fillId="3" borderId="0" xfId="0" applyNumberFormat="1" applyFill="1" applyAlignment="1">
      <alignment vertical="top"/>
    </xf>
    <xf numFmtId="2" fontId="12" fillId="3" borderId="1" xfId="0" applyNumberFormat="1" applyFont="1" applyFill="1" applyBorder="1"/>
    <xf numFmtId="164" fontId="9" fillId="3" borderId="1" xfId="0" applyNumberFormat="1" applyFont="1" applyFill="1" applyBorder="1"/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/>
    </xf>
    <xf numFmtId="0" fontId="8" fillId="0" borderId="15" xfId="0" applyFont="1" applyBorder="1"/>
    <xf numFmtId="14" fontId="6" fillId="0" borderId="17" xfId="0" applyNumberFormat="1" applyFont="1" applyBorder="1" applyAlignment="1">
      <alignment horizontal="left" vertical="top"/>
    </xf>
    <xf numFmtId="2" fontId="3" fillId="0" borderId="17" xfId="0" applyNumberFormat="1" applyFont="1" applyBorder="1" applyAlignment="1">
      <alignment horizontal="right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2" fontId="7" fillId="3" borderId="17" xfId="0" applyNumberFormat="1" applyFont="1" applyFill="1" applyBorder="1" applyAlignment="1">
      <alignment horizontal="center" vertical="top"/>
    </xf>
    <xf numFmtId="2" fontId="7" fillId="3" borderId="17" xfId="0" applyNumberFormat="1" applyFont="1" applyFill="1" applyBorder="1" applyAlignment="1">
      <alignment horizontal="right" vertical="top"/>
    </xf>
    <xf numFmtId="2" fontId="4" fillId="3" borderId="17" xfId="0" applyNumberFormat="1" applyFont="1" applyFill="1" applyBorder="1" applyAlignment="1">
      <alignment horizontal="right" vertical="top"/>
    </xf>
    <xf numFmtId="2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2" fontId="13" fillId="0" borderId="16" xfId="0" applyNumberFormat="1" applyFont="1" applyBorder="1" applyAlignment="1">
      <alignment horizontal="left"/>
    </xf>
    <xf numFmtId="14" fontId="8" fillId="3" borderId="1" xfId="0" applyNumberFormat="1" applyFont="1" applyFill="1" applyBorder="1" applyAlignment="1">
      <alignment horizontal="center" vertical="top"/>
    </xf>
    <xf numFmtId="14" fontId="11" fillId="3" borderId="1" xfId="0" applyNumberFormat="1" applyFont="1" applyFill="1" applyBorder="1" applyAlignment="1">
      <alignment horizontal="left"/>
    </xf>
    <xf numFmtId="2" fontId="1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left" vertical="top"/>
    </xf>
    <xf numFmtId="2" fontId="6" fillId="3" borderId="1" xfId="0" applyNumberFormat="1" applyFont="1" applyFill="1" applyBorder="1" applyAlignment="1">
      <alignment horizontal="center" vertical="top"/>
    </xf>
    <xf numFmtId="0" fontId="14" fillId="3" borderId="1" xfId="0" applyFont="1" applyFill="1" applyBorder="1" applyAlignment="1">
      <alignment vertical="center" wrapText="1"/>
    </xf>
    <xf numFmtId="0" fontId="10" fillId="3" borderId="1" xfId="0" applyFont="1" applyFill="1" applyBorder="1"/>
    <xf numFmtId="2" fontId="3" fillId="0" borderId="17" xfId="0" applyNumberFormat="1" applyFont="1" applyBorder="1" applyAlignment="1">
      <alignment vertical="center"/>
    </xf>
    <xf numFmtId="0" fontId="0" fillId="0" borderId="0" xfId="0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view="pageBreakPreview" zoomScale="60" zoomScaleNormal="100" workbookViewId="0">
      <pane ySplit="2" topLeftCell="A3" activePane="bottomLeft" state="frozen"/>
      <selection pane="bottomLeft" activeCell="G4" sqref="G4"/>
    </sheetView>
  </sheetViews>
  <sheetFormatPr defaultRowHeight="15.75" x14ac:dyDescent="0.25"/>
  <cols>
    <col min="1" max="1" width="15.7109375" style="12" customWidth="1"/>
    <col min="2" max="2" width="45.7109375" style="4" customWidth="1"/>
    <col min="3" max="3" width="17.28515625" style="14" customWidth="1"/>
    <col min="4" max="4" width="16.28515625" style="48" customWidth="1"/>
    <col min="5" max="5" width="14.7109375" style="48" customWidth="1"/>
    <col min="6" max="6" width="16.7109375" style="10" customWidth="1"/>
    <col min="7" max="7" width="16.140625" style="10" customWidth="1"/>
    <col min="8" max="8" width="12.85546875" style="10" customWidth="1"/>
    <col min="9" max="9" width="14.85546875" style="5" customWidth="1"/>
    <col min="10" max="11" width="14.85546875" customWidth="1"/>
    <col min="12" max="12" width="13.85546875" style="5" customWidth="1"/>
    <col min="13" max="13" width="7.140625" style="22" customWidth="1"/>
    <col min="14" max="14" width="13.7109375" style="22" customWidth="1"/>
  </cols>
  <sheetData>
    <row r="1" spans="1:16" ht="21" customHeight="1" x14ac:dyDescent="0.35">
      <c r="A1" s="85" t="s">
        <v>12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24"/>
      <c r="M1" s="25"/>
      <c r="N1" s="26"/>
    </row>
    <row r="2" spans="1:16" ht="73.5" customHeight="1" x14ac:dyDescent="0.25">
      <c r="A2" s="35" t="s">
        <v>18</v>
      </c>
      <c r="B2" s="36" t="s">
        <v>37</v>
      </c>
      <c r="C2" s="37" t="s">
        <v>38</v>
      </c>
      <c r="D2" s="37" t="s">
        <v>39</v>
      </c>
      <c r="E2" s="37" t="s">
        <v>40</v>
      </c>
      <c r="F2" s="37" t="s">
        <v>41</v>
      </c>
      <c r="G2" s="37" t="s">
        <v>42</v>
      </c>
      <c r="H2" s="37" t="s">
        <v>43</v>
      </c>
      <c r="I2" s="38" t="s">
        <v>19</v>
      </c>
      <c r="J2" s="39" t="s">
        <v>11</v>
      </c>
      <c r="K2" s="40" t="s">
        <v>44</v>
      </c>
      <c r="L2" s="38" t="s">
        <v>45</v>
      </c>
      <c r="M2" s="41" t="s">
        <v>13</v>
      </c>
      <c r="N2" s="42" t="s">
        <v>14</v>
      </c>
    </row>
    <row r="3" spans="1:16" s="53" customFormat="1" ht="21" x14ac:dyDescent="0.35">
      <c r="A3" s="76">
        <v>46247</v>
      </c>
      <c r="B3" s="51"/>
      <c r="C3" s="16"/>
      <c r="D3" s="52"/>
      <c r="E3" s="43"/>
      <c r="F3" s="18"/>
      <c r="G3" s="18"/>
      <c r="H3" s="27"/>
      <c r="I3" s="18"/>
      <c r="J3" s="19"/>
      <c r="K3" s="19">
        <v>0</v>
      </c>
      <c r="L3" s="29"/>
      <c r="M3" s="30"/>
      <c r="N3" s="77"/>
    </row>
    <row r="4" spans="1:16" s="53" customFormat="1" ht="21" x14ac:dyDescent="0.25">
      <c r="A4" s="56" t="s">
        <v>0</v>
      </c>
      <c r="B4" s="51" t="s">
        <v>33</v>
      </c>
      <c r="C4" s="32">
        <v>64330</v>
      </c>
      <c r="D4" s="19">
        <v>49725</v>
      </c>
      <c r="E4" s="43">
        <v>49725</v>
      </c>
      <c r="F4" s="18">
        <f t="shared" ref="F4:F13" si="0">D4-E4</f>
        <v>0</v>
      </c>
      <c r="G4" s="18">
        <f t="shared" ref="G4" si="1">C4-D4</f>
        <v>14605</v>
      </c>
      <c r="H4" s="27">
        <v>3800</v>
      </c>
      <c r="I4" s="18">
        <f t="shared" ref="I4:I6" si="2">C4-D4-H4</f>
        <v>10805</v>
      </c>
      <c r="J4" s="19">
        <v>10805</v>
      </c>
      <c r="K4" s="19">
        <f>K3+J4</f>
        <v>10805</v>
      </c>
      <c r="L4" s="29">
        <v>46066</v>
      </c>
      <c r="M4" s="30">
        <v>90</v>
      </c>
      <c r="N4" s="77">
        <f t="shared" ref="N4" si="3">L4+M4</f>
        <v>46156</v>
      </c>
    </row>
    <row r="5" spans="1:16" s="53" customFormat="1" ht="21" x14ac:dyDescent="0.25">
      <c r="A5" s="56" t="s">
        <v>32</v>
      </c>
      <c r="B5" s="51" t="s">
        <v>34</v>
      </c>
      <c r="C5" s="32">
        <v>51300</v>
      </c>
      <c r="D5" s="31">
        <v>40500</v>
      </c>
      <c r="E5" s="43">
        <v>40500</v>
      </c>
      <c r="F5" s="18">
        <f t="shared" si="0"/>
        <v>0</v>
      </c>
      <c r="G5" s="18">
        <f t="shared" ref="G5:G6" si="4">C5-D5</f>
        <v>10800</v>
      </c>
      <c r="H5" s="27">
        <v>3800</v>
      </c>
      <c r="I5" s="18">
        <f t="shared" si="2"/>
        <v>7000</v>
      </c>
      <c r="J5" s="19">
        <v>7000</v>
      </c>
      <c r="K5" s="19">
        <f>K4+I5-J5</f>
        <v>10805</v>
      </c>
      <c r="L5" s="23">
        <v>46083</v>
      </c>
      <c r="M5" s="30">
        <v>90</v>
      </c>
      <c r="N5" s="77">
        <f t="shared" ref="N5" si="5">L5+M5</f>
        <v>46173</v>
      </c>
    </row>
    <row r="6" spans="1:16" s="53" customFormat="1" ht="21" x14ac:dyDescent="0.25">
      <c r="A6" s="56" t="s">
        <v>1</v>
      </c>
      <c r="B6" s="51" t="s">
        <v>35</v>
      </c>
      <c r="C6" s="32">
        <v>73912.5</v>
      </c>
      <c r="D6" s="31">
        <v>50777.5</v>
      </c>
      <c r="E6" s="43">
        <v>50777.5</v>
      </c>
      <c r="F6" s="18">
        <f t="shared" si="0"/>
        <v>0</v>
      </c>
      <c r="G6" s="18">
        <f t="shared" si="4"/>
        <v>23135</v>
      </c>
      <c r="H6" s="27">
        <v>3800</v>
      </c>
      <c r="I6" s="18">
        <f t="shared" si="2"/>
        <v>19335</v>
      </c>
      <c r="J6" s="19">
        <v>19335</v>
      </c>
      <c r="K6" s="19">
        <f t="shared" ref="K6" si="6">K5+I6-J6</f>
        <v>10805</v>
      </c>
      <c r="L6" s="23">
        <v>46097</v>
      </c>
      <c r="M6" s="30">
        <v>90</v>
      </c>
      <c r="N6" s="77">
        <f t="shared" ref="N6" si="7">L6+M6</f>
        <v>46187</v>
      </c>
    </row>
    <row r="7" spans="1:16" s="53" customFormat="1" ht="21" x14ac:dyDescent="0.25">
      <c r="A7" s="56" t="s">
        <v>2</v>
      </c>
      <c r="B7" s="81" t="s">
        <v>20</v>
      </c>
      <c r="C7" s="32">
        <v>78520</v>
      </c>
      <c r="D7" s="31">
        <v>52600</v>
      </c>
      <c r="E7" s="43">
        <v>52600</v>
      </c>
      <c r="F7" s="17">
        <f t="shared" si="0"/>
        <v>0</v>
      </c>
      <c r="G7" s="17">
        <f>C7-D7</f>
        <v>25920</v>
      </c>
      <c r="H7" s="78">
        <v>3800</v>
      </c>
      <c r="I7" s="17">
        <f t="shared" ref="I7:I17" si="8">C7-D7-H7</f>
        <v>22120</v>
      </c>
      <c r="J7" s="54">
        <v>22120</v>
      </c>
      <c r="K7" s="54">
        <f t="shared" ref="K7:K17" si="9">K6+I7-J7</f>
        <v>10805</v>
      </c>
      <c r="L7" s="28">
        <v>46147</v>
      </c>
      <c r="M7" s="55">
        <v>90</v>
      </c>
      <c r="N7" s="58">
        <f t="shared" ref="N7" si="10">L7+M7</f>
        <v>46237</v>
      </c>
    </row>
    <row r="8" spans="1:16" s="53" customFormat="1" ht="21" x14ac:dyDescent="0.25">
      <c r="A8" s="56"/>
      <c r="B8" s="81" t="s">
        <v>26</v>
      </c>
      <c r="C8" s="16"/>
      <c r="D8" s="31"/>
      <c r="E8" s="43"/>
      <c r="F8" s="17"/>
      <c r="G8" s="17"/>
      <c r="H8" s="78"/>
      <c r="I8" s="17"/>
      <c r="J8" s="54">
        <v>0.25</v>
      </c>
      <c r="K8" s="54">
        <f t="shared" si="9"/>
        <v>10804.75</v>
      </c>
      <c r="L8" s="28"/>
      <c r="M8" s="55"/>
      <c r="N8" s="58"/>
    </row>
    <row r="9" spans="1:16" s="53" customFormat="1" ht="28.5" x14ac:dyDescent="0.25">
      <c r="A9" s="56" t="s">
        <v>3</v>
      </c>
      <c r="B9" s="57" t="s">
        <v>46</v>
      </c>
      <c r="C9" s="32">
        <v>51680</v>
      </c>
      <c r="D9" s="19">
        <v>40800</v>
      </c>
      <c r="E9" s="43">
        <v>40800</v>
      </c>
      <c r="F9" s="17">
        <f t="shared" si="0"/>
        <v>0</v>
      </c>
      <c r="G9" s="17">
        <f t="shared" ref="G9" si="11">C9-D9</f>
        <v>10880</v>
      </c>
      <c r="H9" s="27">
        <v>3800</v>
      </c>
      <c r="I9" s="17">
        <f t="shared" si="8"/>
        <v>7080</v>
      </c>
      <c r="J9" s="54">
        <v>0</v>
      </c>
      <c r="K9" s="54">
        <f t="shared" si="9"/>
        <v>17884.75</v>
      </c>
      <c r="L9" s="23">
        <v>46190</v>
      </c>
      <c r="M9" s="55">
        <v>90</v>
      </c>
      <c r="N9" s="58">
        <f t="shared" ref="N9:N12" si="12">L9+M9</f>
        <v>46280</v>
      </c>
    </row>
    <row r="10" spans="1:16" s="53" customFormat="1" ht="28.5" x14ac:dyDescent="0.25">
      <c r="A10" s="56" t="s">
        <v>4</v>
      </c>
      <c r="B10" s="57" t="s">
        <v>47</v>
      </c>
      <c r="C10" s="32">
        <v>66960</v>
      </c>
      <c r="D10" s="19">
        <v>49500</v>
      </c>
      <c r="E10" s="43">
        <v>49500</v>
      </c>
      <c r="F10" s="17">
        <f t="shared" si="0"/>
        <v>0</v>
      </c>
      <c r="G10" s="18">
        <f t="shared" ref="G10:G17" si="13">C10-D10</f>
        <v>17460</v>
      </c>
      <c r="H10" s="27">
        <v>3800</v>
      </c>
      <c r="I10" s="17">
        <f t="shared" si="8"/>
        <v>13660</v>
      </c>
      <c r="J10" s="54">
        <v>0</v>
      </c>
      <c r="K10" s="54">
        <f t="shared" si="9"/>
        <v>31544.75</v>
      </c>
      <c r="L10" s="23">
        <v>46190</v>
      </c>
      <c r="M10" s="55">
        <v>90</v>
      </c>
      <c r="N10" s="58">
        <f t="shared" si="12"/>
        <v>46280</v>
      </c>
    </row>
    <row r="11" spans="1:16" s="53" customFormat="1" ht="21" x14ac:dyDescent="0.25">
      <c r="A11" s="56" t="s">
        <v>5</v>
      </c>
      <c r="B11" s="82" t="s">
        <v>21</v>
      </c>
      <c r="C11" s="16">
        <v>74845</v>
      </c>
      <c r="D11" s="31">
        <v>50250.5</v>
      </c>
      <c r="E11" s="43">
        <v>0</v>
      </c>
      <c r="F11" s="17">
        <f t="shared" si="0"/>
        <v>50250.5</v>
      </c>
      <c r="G11" s="18">
        <f t="shared" si="13"/>
        <v>24594.5</v>
      </c>
      <c r="H11" s="27">
        <v>3800</v>
      </c>
      <c r="I11" s="18">
        <f t="shared" si="8"/>
        <v>20794.5</v>
      </c>
      <c r="J11" s="54">
        <v>0</v>
      </c>
      <c r="K11" s="54">
        <f t="shared" si="9"/>
        <v>52339.25</v>
      </c>
      <c r="L11" s="23">
        <v>46235</v>
      </c>
      <c r="M11" s="55">
        <v>90</v>
      </c>
      <c r="N11" s="58">
        <f t="shared" si="12"/>
        <v>46325</v>
      </c>
      <c r="O11" s="60"/>
      <c r="P11" s="60"/>
    </row>
    <row r="12" spans="1:16" s="53" customFormat="1" ht="21" x14ac:dyDescent="0.3">
      <c r="A12" s="56" t="s">
        <v>6</v>
      </c>
      <c r="B12" s="82" t="s">
        <v>22</v>
      </c>
      <c r="C12" s="61">
        <v>108844.5</v>
      </c>
      <c r="D12" s="31">
        <v>58671.75</v>
      </c>
      <c r="E12" s="43">
        <v>0</v>
      </c>
      <c r="F12" s="17">
        <f t="shared" si="0"/>
        <v>58671.75</v>
      </c>
      <c r="G12" s="18">
        <f t="shared" si="13"/>
        <v>50172.75</v>
      </c>
      <c r="H12" s="27">
        <v>3800</v>
      </c>
      <c r="I12" s="18">
        <f t="shared" si="8"/>
        <v>46372.75</v>
      </c>
      <c r="J12" s="54">
        <v>0</v>
      </c>
      <c r="K12" s="54">
        <f t="shared" si="9"/>
        <v>98712</v>
      </c>
      <c r="L12" s="23">
        <v>46235</v>
      </c>
      <c r="M12" s="55">
        <v>90</v>
      </c>
      <c r="N12" s="58">
        <f t="shared" si="12"/>
        <v>46325</v>
      </c>
    </row>
    <row r="13" spans="1:16" s="53" customFormat="1" ht="21" x14ac:dyDescent="0.25">
      <c r="A13" s="56" t="s">
        <v>7</v>
      </c>
      <c r="B13" s="82" t="s">
        <v>24</v>
      </c>
      <c r="C13" s="16">
        <v>61200</v>
      </c>
      <c r="D13" s="21">
        <v>40800</v>
      </c>
      <c r="E13" s="43">
        <v>0</v>
      </c>
      <c r="F13" s="17">
        <f t="shared" si="0"/>
        <v>40800</v>
      </c>
      <c r="G13" s="18">
        <f t="shared" si="13"/>
        <v>20400</v>
      </c>
      <c r="H13" s="27">
        <v>3800</v>
      </c>
      <c r="I13" s="18">
        <f t="shared" si="8"/>
        <v>16600</v>
      </c>
      <c r="J13" s="54">
        <v>0</v>
      </c>
      <c r="K13" s="54">
        <f t="shared" si="9"/>
        <v>115312</v>
      </c>
      <c r="L13" s="23">
        <v>46302</v>
      </c>
      <c r="M13" s="55">
        <v>90</v>
      </c>
      <c r="N13" s="58">
        <f t="shared" ref="N13" si="14">L13+M13</f>
        <v>46392</v>
      </c>
    </row>
    <row r="14" spans="1:16" s="53" customFormat="1" ht="21" x14ac:dyDescent="0.25">
      <c r="A14" s="56" t="s">
        <v>8</v>
      </c>
      <c r="B14" s="82" t="s">
        <v>23</v>
      </c>
      <c r="C14" s="62">
        <v>88957.5</v>
      </c>
      <c r="D14" s="21">
        <v>52391.25</v>
      </c>
      <c r="E14" s="43">
        <v>0</v>
      </c>
      <c r="F14" s="18">
        <f t="shared" ref="F14:F18" si="15">D14-E14</f>
        <v>52391.25</v>
      </c>
      <c r="G14" s="18">
        <f t="shared" si="13"/>
        <v>36566.25</v>
      </c>
      <c r="H14" s="27"/>
      <c r="I14" s="18">
        <f t="shared" si="8"/>
        <v>36566.25</v>
      </c>
      <c r="J14" s="54">
        <v>0</v>
      </c>
      <c r="K14" s="54">
        <f t="shared" si="9"/>
        <v>151878.25</v>
      </c>
      <c r="L14" s="63" t="s">
        <v>27</v>
      </c>
      <c r="M14" s="55">
        <v>90</v>
      </c>
      <c r="N14" s="64"/>
    </row>
    <row r="15" spans="1:16" s="53" customFormat="1" ht="21" x14ac:dyDescent="0.25">
      <c r="A15" s="56" t="s">
        <v>9</v>
      </c>
      <c r="B15" s="82" t="s">
        <v>25</v>
      </c>
      <c r="C15" s="20">
        <v>66640</v>
      </c>
      <c r="D15" s="31">
        <v>40800</v>
      </c>
      <c r="E15" s="43">
        <v>0</v>
      </c>
      <c r="F15" s="18">
        <f t="shared" si="15"/>
        <v>40800</v>
      </c>
      <c r="G15" s="18">
        <f t="shared" si="13"/>
        <v>25840</v>
      </c>
      <c r="H15" s="27"/>
      <c r="I15" s="18">
        <f t="shared" si="8"/>
        <v>25840</v>
      </c>
      <c r="J15" s="54">
        <v>0</v>
      </c>
      <c r="K15" s="54">
        <f t="shared" si="9"/>
        <v>177718.25</v>
      </c>
      <c r="L15" s="63" t="s">
        <v>27</v>
      </c>
      <c r="M15" s="55">
        <v>90</v>
      </c>
      <c r="N15" s="64"/>
    </row>
    <row r="16" spans="1:16" s="53" customFormat="1" ht="21" x14ac:dyDescent="0.25">
      <c r="A16" s="56" t="s">
        <v>10</v>
      </c>
      <c r="B16" s="82" t="s">
        <v>48</v>
      </c>
      <c r="C16" s="20">
        <v>97500</v>
      </c>
      <c r="D16" s="31">
        <v>49625</v>
      </c>
      <c r="E16" s="43">
        <v>0</v>
      </c>
      <c r="F16" s="18">
        <f t="shared" si="15"/>
        <v>49625</v>
      </c>
      <c r="G16" s="18">
        <f t="shared" si="13"/>
        <v>47875</v>
      </c>
      <c r="H16" s="27"/>
      <c r="I16" s="18">
        <f t="shared" si="8"/>
        <v>47875</v>
      </c>
      <c r="J16" s="54">
        <v>0</v>
      </c>
      <c r="K16" s="54">
        <f t="shared" si="9"/>
        <v>225593.25</v>
      </c>
      <c r="L16" s="63" t="s">
        <v>27</v>
      </c>
      <c r="M16" s="55">
        <v>90</v>
      </c>
      <c r="N16" s="64"/>
    </row>
    <row r="17" spans="1:14" s="53" customFormat="1" ht="21" x14ac:dyDescent="0.3">
      <c r="A17" s="56" t="s">
        <v>30</v>
      </c>
      <c r="B17" s="82" t="s">
        <v>28</v>
      </c>
      <c r="C17" s="61">
        <v>97630</v>
      </c>
      <c r="D17" s="31">
        <v>49855</v>
      </c>
      <c r="E17" s="43">
        <v>0</v>
      </c>
      <c r="F17" s="18">
        <f t="shared" si="15"/>
        <v>49855</v>
      </c>
      <c r="G17" s="18">
        <f t="shared" si="13"/>
        <v>47775</v>
      </c>
      <c r="H17" s="27"/>
      <c r="I17" s="18">
        <f t="shared" si="8"/>
        <v>47775</v>
      </c>
      <c r="J17" s="54">
        <v>0</v>
      </c>
      <c r="K17" s="54">
        <f t="shared" si="9"/>
        <v>273368.25</v>
      </c>
      <c r="L17" s="63" t="s">
        <v>27</v>
      </c>
      <c r="M17" s="55">
        <v>90</v>
      </c>
      <c r="N17" s="64"/>
    </row>
    <row r="18" spans="1:14" s="53" customFormat="1" ht="21" x14ac:dyDescent="0.25">
      <c r="A18" s="56" t="s">
        <v>31</v>
      </c>
      <c r="B18" s="82" t="s">
        <v>29</v>
      </c>
      <c r="C18" s="62">
        <v>108286</v>
      </c>
      <c r="D18" s="31">
        <v>57969.5</v>
      </c>
      <c r="E18" s="43">
        <v>0</v>
      </c>
      <c r="F18" s="18">
        <f t="shared" si="15"/>
        <v>57969.5</v>
      </c>
      <c r="G18" s="18">
        <f t="shared" ref="G18" si="16">C18-D18</f>
        <v>50316.5</v>
      </c>
      <c r="H18" s="27"/>
      <c r="I18" s="18">
        <f t="shared" ref="I18" si="17">C18-D18-H18</f>
        <v>50316.5</v>
      </c>
      <c r="J18" s="54">
        <v>0</v>
      </c>
      <c r="K18" s="54">
        <f t="shared" ref="K18" si="18">K17+I18-J18</f>
        <v>323684.75</v>
      </c>
      <c r="L18" s="63" t="s">
        <v>27</v>
      </c>
      <c r="M18" s="79"/>
      <c r="N18" s="64"/>
    </row>
    <row r="19" spans="1:14" s="53" customFormat="1" ht="21" x14ac:dyDescent="0.25">
      <c r="A19" s="56"/>
      <c r="B19" s="59"/>
      <c r="C19" s="62"/>
      <c r="D19" s="31"/>
      <c r="E19" s="43"/>
      <c r="F19" s="18"/>
      <c r="G19" s="18"/>
      <c r="H19" s="80"/>
      <c r="I19" s="18"/>
      <c r="J19" s="19"/>
      <c r="K19" s="54"/>
      <c r="L19" s="63"/>
      <c r="M19" s="79"/>
      <c r="N19" s="64"/>
    </row>
    <row r="20" spans="1:14" s="53" customFormat="1" ht="21" x14ac:dyDescent="0.25">
      <c r="A20" s="56"/>
      <c r="B20" s="59"/>
      <c r="C20" s="62"/>
      <c r="D20" s="31"/>
      <c r="E20" s="43"/>
      <c r="F20" s="18"/>
      <c r="G20" s="18"/>
      <c r="H20" s="80"/>
      <c r="I20" s="18"/>
      <c r="J20" s="19"/>
      <c r="K20" s="54"/>
      <c r="L20" s="63"/>
      <c r="M20" s="79"/>
      <c r="N20" s="64"/>
    </row>
    <row r="21" spans="1:14" ht="21.75" thickBot="1" x14ac:dyDescent="0.3">
      <c r="A21" s="65"/>
      <c r="B21" s="66" t="s">
        <v>36</v>
      </c>
      <c r="C21" s="83">
        <f>SUM(C3:C20)</f>
        <v>1090605.5</v>
      </c>
      <c r="D21" s="67">
        <f>SUM(D3:D20)</f>
        <v>684265.5</v>
      </c>
      <c r="E21" s="67">
        <f>SUM(E3:E20)</f>
        <v>283902.5</v>
      </c>
      <c r="F21" s="68">
        <f>SUM(F3:F20)</f>
        <v>400363</v>
      </c>
      <c r="G21" s="68"/>
      <c r="H21" s="69">
        <f>SUM(H3:H15)</f>
        <v>34200</v>
      </c>
      <c r="I21" s="70">
        <f>SUM(I3:I20)</f>
        <v>372140</v>
      </c>
      <c r="J21" s="71">
        <f>SUM(J3:J14)</f>
        <v>59260.25</v>
      </c>
      <c r="K21" s="72">
        <f>I21-J21</f>
        <v>312879.75</v>
      </c>
      <c r="L21" s="73"/>
      <c r="M21" s="74"/>
      <c r="N21" s="75"/>
    </row>
    <row r="22" spans="1:14" ht="12" customHeight="1" x14ac:dyDescent="0.25">
      <c r="A22" s="11"/>
      <c r="B22" s="2"/>
      <c r="C22" s="13"/>
      <c r="D22" s="44"/>
      <c r="E22" s="44"/>
      <c r="F22" s="7"/>
      <c r="G22" s="8"/>
      <c r="H22" s="9"/>
      <c r="I22" s="6"/>
      <c r="J22" s="3"/>
      <c r="K22" s="3"/>
      <c r="L22" s="15"/>
    </row>
    <row r="23" spans="1:14" ht="21" x14ac:dyDescent="0.25">
      <c r="C23" s="91" t="s">
        <v>15</v>
      </c>
      <c r="D23" s="92"/>
      <c r="E23" s="45">
        <f>F21</f>
        <v>400363</v>
      </c>
      <c r="L23" s="15"/>
    </row>
    <row r="24" spans="1:14" ht="21.75" thickBot="1" x14ac:dyDescent="0.3">
      <c r="C24" s="87" t="s">
        <v>17</v>
      </c>
      <c r="D24" s="88"/>
      <c r="E24" s="46">
        <f>K21</f>
        <v>312879.75</v>
      </c>
      <c r="K24" s="1"/>
      <c r="L24" s="15"/>
    </row>
    <row r="25" spans="1:14" ht="21.75" customHeight="1" thickBot="1" x14ac:dyDescent="0.4">
      <c r="C25" s="89" t="s">
        <v>16</v>
      </c>
      <c r="D25" s="90"/>
      <c r="E25" s="47">
        <f>E23+E24</f>
        <v>713242.75</v>
      </c>
      <c r="G25" s="33"/>
      <c r="H25" s="34"/>
      <c r="I25" s="34"/>
      <c r="J25" s="93"/>
      <c r="K25" s="93"/>
      <c r="L25" s="15"/>
    </row>
    <row r="26" spans="1:14" ht="23.25" x14ac:dyDescent="0.35">
      <c r="F26" s="50"/>
      <c r="G26" s="33"/>
      <c r="H26" s="34"/>
    </row>
    <row r="27" spans="1:14" x14ac:dyDescent="0.25">
      <c r="E27" s="49"/>
      <c r="F27" s="33"/>
      <c r="I27" s="15"/>
    </row>
    <row r="29" spans="1:14" x14ac:dyDescent="0.25">
      <c r="J29" s="84"/>
    </row>
    <row r="32" spans="1:14" x14ac:dyDescent="0.25">
      <c r="D32" s="49"/>
    </row>
    <row r="34" spans="4:4" x14ac:dyDescent="0.25">
      <c r="D34" s="49"/>
    </row>
  </sheetData>
  <mergeCells count="5">
    <mergeCell ref="A1:K1"/>
    <mergeCell ref="C24:D24"/>
    <mergeCell ref="C25:D25"/>
    <mergeCell ref="C23:D23"/>
    <mergeCell ref="J25:K25"/>
  </mergeCells>
  <pageMargins left="0" right="0" top="0.39370078740157483" bottom="0" header="0.31496062992125984" footer="0.31496062992125984"/>
  <pageSetup paperSize="9" scale="65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HK</vt:lpstr>
      <vt:lpstr>HK!Print_Area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2026-10-31T11:57:12Z</dcterms:modified>
</cp:coreProperties>
</file>