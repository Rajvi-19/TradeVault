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05" windowWidth="14805" windowHeight="8010" tabRatio="856"/>
  </bookViews>
  <sheets>
    <sheet name="debi credit sheet " sheetId="100" r:id="rId1"/>
  </sheets>
  <definedNames>
    <definedName name="_xlnm.Print_Area" localSheetId="0">'debi credit sheet '!$B$1:$H$26</definedName>
  </definedNames>
  <calcPr calcId="152511"/>
</workbook>
</file>

<file path=xl/calcChain.xml><?xml version="1.0" encoding="utf-8"?>
<calcChain xmlns="http://schemas.openxmlformats.org/spreadsheetml/2006/main">
  <c r="F4" i="100" l="1"/>
  <c r="H4" i="100" s="1"/>
  <c r="F5" i="100"/>
  <c r="F6" i="100"/>
  <c r="H5" i="100" l="1"/>
  <c r="H6" i="100" s="1"/>
  <c r="F21" i="100"/>
  <c r="F23" i="100"/>
  <c r="F20" i="100" l="1"/>
  <c r="F18" i="100" l="1"/>
  <c r="F16" i="100" l="1"/>
  <c r="F14" i="100" l="1"/>
  <c r="F13" i="100" l="1"/>
  <c r="F12" i="100"/>
  <c r="F9" i="100" l="1"/>
  <c r="F8" i="100"/>
  <c r="F7" i="100"/>
  <c r="H7" i="100" l="1"/>
  <c r="H8" i="100" s="1"/>
  <c r="H9" i="100" s="1"/>
  <c r="H10" i="100" s="1"/>
  <c r="H11" i="100" l="1"/>
  <c r="H12" i="100" s="1"/>
  <c r="H13" i="100" s="1"/>
  <c r="H14" i="100" s="1"/>
  <c r="H15" i="100" s="1"/>
  <c r="H16" i="100" s="1"/>
  <c r="H17" i="100" s="1"/>
  <c r="H18" i="100" s="1"/>
  <c r="H19" i="100" s="1"/>
  <c r="H20" i="100" s="1"/>
  <c r="H21" i="100" s="1"/>
  <c r="H22" i="100" s="1"/>
  <c r="H23" i="100" s="1"/>
  <c r="H24" i="100" s="1"/>
  <c r="H25" i="100" s="1"/>
  <c r="H26" i="100" l="1"/>
</calcChain>
</file>

<file path=xl/sharedStrings.xml><?xml version="1.0" encoding="utf-8"?>
<sst xmlns="http://schemas.openxmlformats.org/spreadsheetml/2006/main" count="31" uniqueCount="28">
  <si>
    <t xml:space="preserve">DATE </t>
  </si>
  <si>
    <t>DIPOSIT MALYSIA A/C</t>
  </si>
  <si>
    <t>DESCRIPTION OF PAYMENT</t>
  </si>
  <si>
    <t>CREDIT NEMI A/C.</t>
  </si>
  <si>
    <t>PENDING USD</t>
  </si>
  <si>
    <t>TOTAL PENDING PAYMENT USD</t>
  </si>
  <si>
    <t>PARTY SEND CONT &amp; DIFF $</t>
  </si>
  <si>
    <t>BANK TRNS. CHR. USD</t>
  </si>
  <si>
    <t xml:space="preserve">PAYMENT REC </t>
  </si>
  <si>
    <t>Hk diff payment exp066</t>
  </si>
  <si>
    <t>ROSE Tex Diff payment inv059</t>
  </si>
  <si>
    <t>ROSE TEX BANK PAYMENT INV059</t>
  </si>
  <si>
    <t xml:space="preserve">DIFF. AMT MRDW </t>
  </si>
  <si>
    <t>HK BANK PAYMENT INV10</t>
  </si>
  <si>
    <t>Opning Balance US$</t>
  </si>
  <si>
    <t xml:space="preserve">REC BANK PAYMENT </t>
  </si>
  <si>
    <t xml:space="preserve">JAWAD TRADER SHIPPING CHARGES </t>
  </si>
  <si>
    <t>HK BANK PAYMENT INV013</t>
  </si>
  <si>
    <t>JAWAD BANK PAYMENT INV21</t>
  </si>
  <si>
    <t>SHIPPING CHRG MRDW  INV08</t>
  </si>
  <si>
    <t xml:space="preserve">Rec. Payment </t>
  </si>
  <si>
    <t>Muhmmad Rafique Shipping Chrges Inv 008</t>
  </si>
  <si>
    <t>DIFF. AMT MRDW INV EXP/008/26-27</t>
  </si>
  <si>
    <t xml:space="preserve">JAVAID DIFF. AMT INV/062/25-26 </t>
  </si>
  <si>
    <t>ROSE TEX DIFF AMT INV EXP/016/26-27</t>
  </si>
  <si>
    <t>PAYMENT REC.</t>
  </si>
  <si>
    <t xml:space="preserve">PAYMENT RECEIVED </t>
  </si>
  <si>
    <t>PAYMENT  A/C MALAYSIA DEBIT &amp; CREDIT AMT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</si>
</sst>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"/>
    </font>
    <font>
      <b/>
      <sz val="12"/>
      <color theme="1"/>
      <name val="Calibri"/>
      <family val="2"/>
      <scheme val="minor"/>
    </font>
    <font>
      <b/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3" fillId="0" borderId="1" xfId="0" applyFont="1" applyBorder="1" applyAlignment="1">
      <alignment vertical="center" wrapText="1"/>
    </xf>
    <xf numFmtId="14" fontId="3" fillId="0" borderId="5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14" fontId="0" fillId="0" borderId="5" xfId="0" applyNumberFormat="1" applyBorder="1" applyAlignment="1">
      <alignment vertical="center"/>
    </xf>
    <xf numFmtId="2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 wrapText="1"/>
    </xf>
    <xf numFmtId="2" fontId="0" fillId="2" borderId="1" xfId="0" applyNumberFormat="1" applyFont="1" applyFill="1" applyBorder="1" applyAlignment="1">
      <alignment horizontal="right" vertical="center" wrapText="1"/>
    </xf>
    <xf numFmtId="0" fontId="0" fillId="0" borderId="1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3" xfId="0" applyFont="1" applyBorder="1" applyAlignment="1">
      <alignment vertical="center"/>
    </xf>
    <xf numFmtId="0" fontId="4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0" fillId="0" borderId="14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 wrapText="1"/>
    </xf>
    <xf numFmtId="2" fontId="1" fillId="0" borderId="6" xfId="0" applyNumberFormat="1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4" fontId="3" fillId="0" borderId="5" xfId="0" applyNumberFormat="1" applyFont="1" applyBorder="1" applyAlignment="1">
      <alignment vertical="center" wrapText="1"/>
    </xf>
    <xf numFmtId="2" fontId="0" fillId="0" borderId="1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vertical="center"/>
    </xf>
    <xf numFmtId="14" fontId="3" fillId="2" borderId="5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2" fontId="0" fillId="2" borderId="1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right" vertical="center" wrapText="1"/>
    </xf>
    <xf numFmtId="14" fontId="0" fillId="0" borderId="15" xfId="0" applyNumberForma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2" fontId="0" fillId="0" borderId="2" xfId="0" applyNumberFormat="1" applyFont="1" applyBorder="1" applyAlignment="1">
      <alignment horizontal="right" vertical="center"/>
    </xf>
    <xf numFmtId="0" fontId="0" fillId="0" borderId="2" xfId="0" applyFont="1" applyBorder="1" applyAlignment="1">
      <alignment horizontal="right" vertical="center" wrapText="1"/>
    </xf>
    <xf numFmtId="2" fontId="0" fillId="2" borderId="2" xfId="0" applyNumberFormat="1" applyFont="1" applyFill="1" applyBorder="1" applyAlignment="1">
      <alignment horizontal="right" vertical="center" wrapText="1"/>
    </xf>
    <xf numFmtId="164" fontId="0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vertical="center" wrapText="1"/>
    </xf>
    <xf numFmtId="2" fontId="0" fillId="2" borderId="2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 wrapText="1"/>
    </xf>
    <xf numFmtId="2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2" fontId="6" fillId="2" borderId="2" xfId="0" applyNumberFormat="1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2" fontId="8" fillId="0" borderId="8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right" vertical="center"/>
    </xf>
    <xf numFmtId="2" fontId="4" fillId="0" borderId="0" xfId="0" applyNumberFormat="1" applyFont="1" applyBorder="1" applyAlignment="1">
      <alignment vertical="center"/>
    </xf>
    <xf numFmtId="2" fontId="4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H27"/>
  <sheetViews>
    <sheetView tabSelected="1" zoomScale="130" zoomScaleNormal="130" workbookViewId="0">
      <pane ySplit="2" topLeftCell="A18" activePane="bottomLeft" state="frozen"/>
      <selection pane="bottomLeft" activeCell="H2" sqref="H2:I2"/>
    </sheetView>
  </sheetViews>
  <sheetFormatPr defaultColWidth="9.140625" defaultRowHeight="15"/>
  <cols>
    <col min="1" max="1" width="3.140625" style="9" customWidth="1"/>
    <col min="2" max="2" width="10.85546875" style="48" customWidth="1"/>
    <col min="3" max="3" width="32.140625" style="49" customWidth="1"/>
    <col min="4" max="4" width="12" style="50" customWidth="1"/>
    <col min="5" max="5" width="9.28515625" style="51" customWidth="1"/>
    <col min="6" max="6" width="11" style="52" customWidth="1"/>
    <col min="7" max="7" width="12.28515625" style="53" customWidth="1"/>
    <col min="8" max="8" width="13.7109375" style="54" customWidth="1"/>
    <col min="9" max="16384" width="9.140625" style="9"/>
  </cols>
  <sheetData>
    <row r="1" spans="1:8" ht="30.75" customHeight="1" thickBot="1">
      <c r="A1" s="8"/>
      <c r="B1" s="55" t="s">
        <v>27</v>
      </c>
      <c r="C1" s="56"/>
      <c r="D1" s="56"/>
      <c r="E1" s="56"/>
      <c r="F1" s="56"/>
      <c r="G1" s="56"/>
      <c r="H1" s="57"/>
    </row>
    <row r="2" spans="1:8" ht="47.25" customHeight="1">
      <c r="A2" s="10"/>
      <c r="B2" s="11" t="s">
        <v>0</v>
      </c>
      <c r="C2" s="12" t="s">
        <v>2</v>
      </c>
      <c r="D2" s="12" t="s">
        <v>6</v>
      </c>
      <c r="E2" s="13" t="s">
        <v>7</v>
      </c>
      <c r="F2" s="14" t="s">
        <v>1</v>
      </c>
      <c r="G2" s="15" t="s">
        <v>3</v>
      </c>
      <c r="H2" s="16" t="s">
        <v>4</v>
      </c>
    </row>
    <row r="3" spans="1:8" s="20" customFormat="1" ht="22.5" customHeight="1">
      <c r="A3" s="17"/>
      <c r="B3" s="58" t="s">
        <v>14</v>
      </c>
      <c r="C3" s="59"/>
      <c r="D3" s="18"/>
      <c r="E3" s="6"/>
      <c r="F3" s="7"/>
      <c r="G3" s="7"/>
      <c r="H3" s="19">
        <v>4332.25</v>
      </c>
    </row>
    <row r="4" spans="1:8" s="20" customFormat="1" ht="22.5" customHeight="1">
      <c r="A4" s="17"/>
      <c r="B4" s="21">
        <v>46277</v>
      </c>
      <c r="C4" s="1" t="s">
        <v>9</v>
      </c>
      <c r="D4" s="22">
        <v>22120</v>
      </c>
      <c r="E4" s="22">
        <v>0</v>
      </c>
      <c r="F4" s="7">
        <f t="shared" ref="F4:F9" si="0">D4-E4</f>
        <v>22120</v>
      </c>
      <c r="G4" s="7"/>
      <c r="H4" s="19">
        <f>H3+F4-G4</f>
        <v>26452.25</v>
      </c>
    </row>
    <row r="5" spans="1:8" s="20" customFormat="1" ht="22.5" customHeight="1">
      <c r="A5" s="17"/>
      <c r="B5" s="21">
        <v>46279</v>
      </c>
      <c r="C5" s="1" t="s">
        <v>10</v>
      </c>
      <c r="D5" s="22">
        <v>16900</v>
      </c>
      <c r="E5" s="22">
        <v>0</v>
      </c>
      <c r="F5" s="7">
        <f t="shared" si="0"/>
        <v>16900</v>
      </c>
      <c r="G5" s="7"/>
      <c r="H5" s="19">
        <f t="shared" ref="H5:H26" si="1">H4+F5-G5</f>
        <v>43352.25</v>
      </c>
    </row>
    <row r="6" spans="1:8" s="20" customFormat="1" ht="22.5" customHeight="1">
      <c r="A6" s="17"/>
      <c r="B6" s="23">
        <v>46282</v>
      </c>
      <c r="C6" s="3" t="s">
        <v>11</v>
      </c>
      <c r="D6" s="5">
        <v>48600</v>
      </c>
      <c r="E6" s="22">
        <v>260</v>
      </c>
      <c r="F6" s="7">
        <f t="shared" si="0"/>
        <v>48340</v>
      </c>
      <c r="G6" s="7"/>
      <c r="H6" s="19">
        <f t="shared" si="1"/>
        <v>91692.25</v>
      </c>
    </row>
    <row r="7" spans="1:8" s="20" customFormat="1" ht="22.5" customHeight="1">
      <c r="A7" s="17"/>
      <c r="B7" s="21">
        <v>46283</v>
      </c>
      <c r="C7" s="1" t="s">
        <v>12</v>
      </c>
      <c r="D7" s="5">
        <v>5714</v>
      </c>
      <c r="E7" s="22">
        <v>0</v>
      </c>
      <c r="F7" s="7">
        <f t="shared" si="0"/>
        <v>5714</v>
      </c>
      <c r="G7" s="7"/>
      <c r="H7" s="19">
        <f t="shared" si="1"/>
        <v>97406.25</v>
      </c>
    </row>
    <row r="8" spans="1:8" s="20" customFormat="1" ht="22.5" customHeight="1">
      <c r="A8" s="17"/>
      <c r="B8" s="21">
        <v>46288</v>
      </c>
      <c r="C8" s="1" t="s">
        <v>13</v>
      </c>
      <c r="D8" s="22">
        <v>40800</v>
      </c>
      <c r="E8" s="22">
        <v>260</v>
      </c>
      <c r="F8" s="7">
        <f t="shared" si="0"/>
        <v>40540</v>
      </c>
      <c r="G8" s="7"/>
      <c r="H8" s="19">
        <f t="shared" si="1"/>
        <v>137946.25</v>
      </c>
    </row>
    <row r="9" spans="1:8" s="20" customFormat="1" ht="22.5" customHeight="1">
      <c r="A9" s="17"/>
      <c r="B9" s="21">
        <v>46288</v>
      </c>
      <c r="C9" s="1" t="s">
        <v>12</v>
      </c>
      <c r="D9" s="5">
        <v>536</v>
      </c>
      <c r="E9" s="22">
        <v>0</v>
      </c>
      <c r="F9" s="7">
        <f t="shared" si="0"/>
        <v>536</v>
      </c>
      <c r="G9" s="7"/>
      <c r="H9" s="19">
        <f t="shared" si="1"/>
        <v>138482.25</v>
      </c>
    </row>
    <row r="10" spans="1:8" s="20" customFormat="1" ht="22.5" customHeight="1">
      <c r="A10" s="17"/>
      <c r="B10" s="2">
        <v>46293</v>
      </c>
      <c r="C10" s="1" t="s">
        <v>15</v>
      </c>
      <c r="D10" s="5"/>
      <c r="E10" s="6"/>
      <c r="F10" s="7"/>
      <c r="G10" s="7">
        <v>40000</v>
      </c>
      <c r="H10" s="19">
        <f t="shared" si="1"/>
        <v>98482.25</v>
      </c>
    </row>
    <row r="11" spans="1:8" s="20" customFormat="1" ht="22.5" customHeight="1">
      <c r="A11" s="17"/>
      <c r="B11" s="24">
        <v>46294</v>
      </c>
      <c r="C11" s="25" t="s">
        <v>16</v>
      </c>
      <c r="D11" s="26"/>
      <c r="E11" s="27"/>
      <c r="F11" s="7"/>
      <c r="G11" s="7">
        <v>3800</v>
      </c>
      <c r="H11" s="19">
        <f t="shared" si="1"/>
        <v>94682.25</v>
      </c>
    </row>
    <row r="12" spans="1:8" s="20" customFormat="1" ht="22.5" customHeight="1">
      <c r="A12" s="17"/>
      <c r="B12" s="2">
        <v>46294</v>
      </c>
      <c r="C12" s="1" t="s">
        <v>12</v>
      </c>
      <c r="D12" s="5">
        <v>625</v>
      </c>
      <c r="E12" s="6">
        <v>0</v>
      </c>
      <c r="F12" s="7">
        <f>D12-E12</f>
        <v>625</v>
      </c>
      <c r="G12" s="7"/>
      <c r="H12" s="19">
        <f t="shared" si="1"/>
        <v>95307.25</v>
      </c>
    </row>
    <row r="13" spans="1:8" s="20" customFormat="1" ht="22.5" customHeight="1">
      <c r="A13" s="17"/>
      <c r="B13" s="4">
        <v>46296</v>
      </c>
      <c r="C13" s="1" t="s">
        <v>12</v>
      </c>
      <c r="D13" s="5">
        <v>1786</v>
      </c>
      <c r="E13" s="6">
        <v>0</v>
      </c>
      <c r="F13" s="7">
        <f>D13-E13</f>
        <v>1786</v>
      </c>
      <c r="G13" s="7"/>
      <c r="H13" s="19">
        <f t="shared" si="1"/>
        <v>97093.25</v>
      </c>
    </row>
    <row r="14" spans="1:8" s="20" customFormat="1" ht="22.5" customHeight="1">
      <c r="A14" s="17"/>
      <c r="B14" s="4">
        <v>46297</v>
      </c>
      <c r="C14" s="1" t="s">
        <v>17</v>
      </c>
      <c r="D14" s="5">
        <v>49500</v>
      </c>
      <c r="E14" s="6">
        <v>260</v>
      </c>
      <c r="F14" s="7">
        <f>D14-E14</f>
        <v>49240</v>
      </c>
      <c r="G14" s="7"/>
      <c r="H14" s="19">
        <f t="shared" si="1"/>
        <v>146333.25</v>
      </c>
    </row>
    <row r="15" spans="1:8" s="20" customFormat="1" ht="22.5" customHeight="1">
      <c r="A15" s="17"/>
      <c r="B15" s="2">
        <v>46301</v>
      </c>
      <c r="C15" s="1" t="s">
        <v>8</v>
      </c>
      <c r="D15" s="5"/>
      <c r="E15" s="6"/>
      <c r="F15" s="7"/>
      <c r="G15" s="7">
        <v>43352</v>
      </c>
      <c r="H15" s="19">
        <f t="shared" si="1"/>
        <v>102981.25</v>
      </c>
    </row>
    <row r="16" spans="1:8" s="20" customFormat="1" ht="22.5" customHeight="1">
      <c r="A16" s="17"/>
      <c r="B16" s="4">
        <v>46301</v>
      </c>
      <c r="C16" s="1" t="s">
        <v>18</v>
      </c>
      <c r="D16" s="5">
        <v>40437.5</v>
      </c>
      <c r="E16" s="6">
        <v>260</v>
      </c>
      <c r="F16" s="7">
        <f>D16-E16</f>
        <v>40177.5</v>
      </c>
      <c r="G16" s="7"/>
      <c r="H16" s="19">
        <f t="shared" si="1"/>
        <v>143158.75</v>
      </c>
    </row>
    <row r="17" spans="1:8" s="20" customFormat="1" ht="22.5" customHeight="1">
      <c r="A17" s="17"/>
      <c r="B17" s="28">
        <v>46304</v>
      </c>
      <c r="C17" s="29" t="s">
        <v>20</v>
      </c>
      <c r="D17" s="30"/>
      <c r="E17" s="31"/>
      <c r="F17" s="32"/>
      <c r="G17" s="32">
        <v>51995</v>
      </c>
      <c r="H17" s="19">
        <f t="shared" si="1"/>
        <v>91163.75</v>
      </c>
    </row>
    <row r="18" spans="1:8" s="20" customFormat="1" ht="22.5" customHeight="1">
      <c r="A18" s="17"/>
      <c r="B18" s="28">
        <v>46304</v>
      </c>
      <c r="C18" s="29" t="s">
        <v>19</v>
      </c>
      <c r="D18" s="7">
        <v>4547</v>
      </c>
      <c r="E18" s="31">
        <v>0</v>
      </c>
      <c r="F18" s="32">
        <f>D18-E18</f>
        <v>4547</v>
      </c>
      <c r="G18" s="32"/>
      <c r="H18" s="19">
        <f t="shared" si="1"/>
        <v>95710.75</v>
      </c>
    </row>
    <row r="19" spans="1:8" s="20" customFormat="1" ht="26.25" customHeight="1">
      <c r="A19" s="17"/>
      <c r="B19" s="28">
        <v>46305</v>
      </c>
      <c r="C19" s="34" t="s">
        <v>21</v>
      </c>
      <c r="D19" s="35"/>
      <c r="E19" s="36"/>
      <c r="F19" s="32"/>
      <c r="G19" s="32">
        <v>4350</v>
      </c>
      <c r="H19" s="19">
        <f t="shared" si="1"/>
        <v>91360.75</v>
      </c>
    </row>
    <row r="20" spans="1:8" s="20" customFormat="1" ht="26.25" customHeight="1">
      <c r="A20" s="17"/>
      <c r="B20" s="4">
        <v>46307</v>
      </c>
      <c r="C20" s="3" t="s">
        <v>22</v>
      </c>
      <c r="D20" s="33">
        <v>550</v>
      </c>
      <c r="E20" s="33"/>
      <c r="F20" s="26">
        <f>D20-E20</f>
        <v>550</v>
      </c>
      <c r="G20" s="26"/>
      <c r="H20" s="19">
        <f t="shared" si="1"/>
        <v>91910.75</v>
      </c>
    </row>
    <row r="21" spans="1:8" s="20" customFormat="1" ht="26.25" customHeight="1">
      <c r="A21" s="17"/>
      <c r="B21" s="28">
        <v>46314</v>
      </c>
      <c r="C21" s="34" t="s">
        <v>23</v>
      </c>
      <c r="D21" s="35">
        <v>20652</v>
      </c>
      <c r="E21" s="36">
        <v>0</v>
      </c>
      <c r="F21" s="26">
        <f>D21-E21</f>
        <v>20652</v>
      </c>
      <c r="G21" s="32"/>
      <c r="H21" s="19">
        <f t="shared" si="1"/>
        <v>112562.75</v>
      </c>
    </row>
    <row r="22" spans="1:8" s="20" customFormat="1" ht="23.25" customHeight="1">
      <c r="A22" s="17"/>
      <c r="B22" s="28">
        <v>46315</v>
      </c>
      <c r="C22" s="34" t="s">
        <v>25</v>
      </c>
      <c r="D22" s="35"/>
      <c r="E22" s="36"/>
      <c r="F22" s="32"/>
      <c r="G22" s="32">
        <v>45000</v>
      </c>
      <c r="H22" s="19">
        <f t="shared" si="1"/>
        <v>67562.75</v>
      </c>
    </row>
    <row r="23" spans="1:8" s="20" customFormat="1" ht="26.25" customHeight="1">
      <c r="A23" s="17"/>
      <c r="B23" s="28">
        <v>46315</v>
      </c>
      <c r="C23" s="34" t="s">
        <v>24</v>
      </c>
      <c r="D23" s="35">
        <v>31598</v>
      </c>
      <c r="E23" s="36">
        <v>0</v>
      </c>
      <c r="F23" s="26">
        <f>D23-E23</f>
        <v>31598</v>
      </c>
      <c r="G23" s="32"/>
      <c r="H23" s="19">
        <f t="shared" si="1"/>
        <v>99160.75</v>
      </c>
    </row>
    <row r="24" spans="1:8" s="20" customFormat="1" ht="26.25" customHeight="1">
      <c r="A24" s="17"/>
      <c r="B24" s="28">
        <v>46323</v>
      </c>
      <c r="C24" s="34" t="s">
        <v>26</v>
      </c>
      <c r="D24" s="35"/>
      <c r="E24" s="36"/>
      <c r="F24" s="32"/>
      <c r="G24" s="32">
        <v>40000</v>
      </c>
      <c r="H24" s="19">
        <f t="shared" si="1"/>
        <v>59160.75</v>
      </c>
    </row>
    <row r="25" spans="1:8" s="20" customFormat="1" ht="22.5" customHeight="1" thickBot="1">
      <c r="A25" s="17"/>
      <c r="B25" s="28"/>
      <c r="C25" s="29"/>
      <c r="D25" s="37"/>
      <c r="E25" s="38"/>
      <c r="F25" s="39"/>
      <c r="G25" s="39"/>
      <c r="H25" s="19">
        <f t="shared" si="1"/>
        <v>59160.75</v>
      </c>
    </row>
    <row r="26" spans="1:8" ht="23.25" customHeight="1" thickBot="1">
      <c r="A26" s="40"/>
      <c r="B26" s="60" t="s">
        <v>5</v>
      </c>
      <c r="C26" s="61"/>
      <c r="D26" s="61"/>
      <c r="E26" s="61"/>
      <c r="F26" s="61"/>
      <c r="G26" s="62"/>
      <c r="H26" s="41">
        <f t="shared" si="1"/>
        <v>59160.75</v>
      </c>
    </row>
    <row r="27" spans="1:8">
      <c r="A27" s="20"/>
      <c r="B27" s="42"/>
      <c r="C27" s="43"/>
      <c r="D27" s="43"/>
      <c r="E27" s="44"/>
      <c r="F27" s="45"/>
      <c r="G27" s="46"/>
      <c r="H27" s="47"/>
    </row>
  </sheetData>
  <mergeCells count="3">
    <mergeCell ref="B1:H1"/>
    <mergeCell ref="B3:C3"/>
    <mergeCell ref="B26:G26"/>
  </mergeCells>
  <pageMargins left="0" right="0" top="0" bottom="0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debi credit sheet </vt:lpstr>
      <vt:lpstr>'debi credit sheet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2026-10-29T12:20:03Z</dcterms:modified>
</cp:coreProperties>
</file>